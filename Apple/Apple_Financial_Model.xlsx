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Desktop\Personal Development\Data Science\Portfolio\Financial-Analyst\Apple\"/>
    </mc:Choice>
  </mc:AlternateContent>
  <xr:revisionPtr revIDLastSave="0" documentId="13_ncr:1_{062B374A-AA96-4816-900F-2C7BC7755395}" xr6:coauthVersionLast="47" xr6:coauthVersionMax="47" xr10:uidLastSave="{00000000-0000-0000-0000-000000000000}"/>
  <bookViews>
    <workbookView xWindow="760" yWindow="760" windowWidth="14400" windowHeight="7270" tabRatio="500" firstSheet="7" activeTab="10" xr2:uid="{00000000-000D-0000-FFFF-FFFF00000000}"/>
  </bookViews>
  <sheets>
    <sheet name="Dashboard" sheetId="1" r:id="rId1"/>
    <sheet name="Cover" sheetId="4" r:id="rId2"/>
    <sheet name="Assumptions" sheetId="6" r:id="rId3"/>
    <sheet name="IS" sheetId="7" r:id="rId4"/>
    <sheet name="BS" sheetId="8" r:id="rId5"/>
    <sheet name="CFS" sheetId="9" r:id="rId6"/>
    <sheet name="Ratios" sheetId="10" r:id="rId7"/>
    <sheet name="DCF" sheetId="11" r:id="rId8"/>
    <sheet name="Validation" sheetId="5" r:id="rId9"/>
    <sheet name="Pivots" sheetId="2" r:id="rId10"/>
    <sheet name="Data Refs" sheetId="12" r:id="rId11"/>
  </sheets>
  <definedNames>
    <definedName name="Beta">Assumptions!$B$47</definedName>
    <definedName name="CostOfEquity">Assumptions!$B$48</definedName>
    <definedName name="CurrentPrice">DCF!$B$27</definedName>
    <definedName name="DilutedShares">Assumptions!$B$58</definedName>
    <definedName name="EnterpriseValue">DCF!$B$22</definedName>
    <definedName name="EPS_FY25A">IS!$F$43</definedName>
    <definedName name="EPS_FY28E">IS!$I$43</definedName>
    <definedName name="EPS_FY29E">IS!$J$43</definedName>
    <definedName name="EPS_Range">IS!$B$43:$J$43</definedName>
    <definedName name="EquityValue">DCF!$B$24</definedName>
    <definedName name="ERP">Assumptions!$B$46</definedName>
    <definedName name="FCF_FY25A">CFS!$F$21</definedName>
    <definedName name="FCF_FY26E">CFS!$G$21</definedName>
    <definedName name="FCF_FY28E">CFS!$I$21</definedName>
    <definedName name="FCF_FY29E">CFS!$J$21</definedName>
    <definedName name="FCF_Range">CFS!$B$21:$J$21</definedName>
    <definedName name="FocusYear">Dashboard!$B$18</definedName>
    <definedName name="GeographyFilter">Dashboard!$B$24</definedName>
    <definedName name="GrossMargin_Range">Ratios!$B$7:$J$7</definedName>
    <definedName name="GrossProfit_FY25A">IS!$F$21</definedName>
    <definedName name="GrossProfit_FY28E">IS!$I$21</definedName>
    <definedName name="GrossProfit_FY29E">IS!$J$21</definedName>
    <definedName name="ImpliedPrice">DCF!$B$26</definedName>
    <definedName name="NetIncome_FY25A">IS!$F$38</definedName>
    <definedName name="NetIncome_FY26E">IS!$G$38</definedName>
    <definedName name="NetIncome_FY28E">IS!$I$38</definedName>
    <definedName name="NetIncome_FY29E">IS!$J$38</definedName>
    <definedName name="NetIncome_Range">IS!$B$38:$J$38</definedName>
    <definedName name="NetMargin_Range">Ratios!$B$9:$J$9</definedName>
    <definedName name="OpIncome_FY25A">IS!$F$28</definedName>
    <definedName name="OpIncome_FY28E">IS!$I$28</definedName>
    <definedName name="OpIncome_FY29E">IS!$J$28</definedName>
    <definedName name="OpIncome_Range">IS!$B$28:$J$28</definedName>
    <definedName name="OpMargin_Range">Ratios!$B$8:$J$8</definedName>
    <definedName name="_xlnm.Print_Area" localSheetId="9">Pivots!$A$1:$Z$36</definedName>
    <definedName name="ProductsRev_Range">IS!$B$8:$J$8</definedName>
    <definedName name="Revenue_FY25A">IS!$F$14</definedName>
    <definedName name="Revenue_FY26E">IS!$G$14</definedName>
    <definedName name="Revenue_FY27E">IS!$H$14</definedName>
    <definedName name="Revenue_FY28E">IS!$I$14</definedName>
    <definedName name="Revenue_FY29E">IS!$J$14</definedName>
    <definedName name="Revenue_Range">IS!$B$14:$J$14</definedName>
    <definedName name="RiskFreeRate">Assumptions!$B$45</definedName>
    <definedName name="Scenario">Dashboard!$B$15</definedName>
    <definedName name="SegmentView">Dashboard!$B$21</definedName>
    <definedName name="ServicesRev_Range">IS!$B$13:$J$13</definedName>
    <definedName name="TerminalGrowth">Assumptions!$B$55</definedName>
    <definedName name="Upside">DCF!$B$28</definedName>
    <definedName name="WACC">Assumptions!$B$54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4" i="11" l="1"/>
  <c r="B24" i="11"/>
  <c r="B22" i="11"/>
  <c r="B20" i="11"/>
  <c r="B17" i="11"/>
  <c r="B13" i="1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L37" i="1"/>
  <c r="M37" i="1" s="1"/>
  <c r="L35" i="1"/>
  <c r="L34" i="1"/>
  <c r="L33" i="1"/>
  <c r="L32" i="1"/>
  <c r="L31" i="1"/>
  <c r="K35" i="1"/>
  <c r="K34" i="1"/>
  <c r="K33" i="1"/>
  <c r="K32" i="1"/>
  <c r="K31" i="1"/>
  <c r="M35" i="1"/>
  <c r="M34" i="1"/>
  <c r="M33" i="1"/>
  <c r="M32" i="1"/>
  <c r="M31" i="1"/>
  <c r="J9" i="6"/>
  <c r="F117" i="5"/>
  <c r="E117" i="5"/>
  <c r="D117" i="5"/>
  <c r="C117" i="5"/>
  <c r="B117" i="5"/>
  <c r="G71" i="5"/>
  <c r="G70" i="5"/>
  <c r="G69" i="5"/>
  <c r="G68" i="5"/>
  <c r="G66" i="5"/>
  <c r="G65" i="5"/>
  <c r="G64" i="5"/>
  <c r="G62" i="5"/>
  <c r="G61" i="5"/>
  <c r="G60" i="5"/>
  <c r="G52" i="5"/>
  <c r="G50" i="5"/>
  <c r="G49" i="5"/>
  <c r="G47" i="5"/>
  <c r="G46" i="5"/>
  <c r="G44" i="5"/>
  <c r="G43" i="5"/>
  <c r="G41" i="5"/>
  <c r="G40" i="5"/>
  <c r="G39" i="5"/>
  <c r="G38" i="5"/>
  <c r="G37" i="5"/>
  <c r="G36" i="5"/>
  <c r="G31" i="5" a="1"/>
  <c r="G31" i="5" s="1"/>
  <c r="G29" i="5" a="1"/>
  <c r="G29" i="5" s="1"/>
  <c r="G27" i="5" a="1"/>
  <c r="G27" i="5" s="1"/>
  <c r="G25" i="5" a="1"/>
  <c r="G25" i="5" s="1"/>
  <c r="G24" i="5" a="1"/>
  <c r="G24" i="5" s="1"/>
  <c r="G23" i="5" a="1"/>
  <c r="G23" i="5" s="1"/>
  <c r="G21" i="5" a="1"/>
  <c r="G21" i="5" s="1"/>
  <c r="G20" i="5" a="1"/>
  <c r="G20" i="5" s="1"/>
  <c r="G19" i="5" a="1"/>
  <c r="G19" i="5" s="1"/>
  <c r="G17" i="5" a="1"/>
  <c r="G17" i="5" s="1"/>
  <c r="G16" i="5" a="1"/>
  <c r="G16" i="5" s="1"/>
  <c r="C43" i="8"/>
  <c r="C42" i="8"/>
  <c r="J32" i="2"/>
  <c r="I32" i="2"/>
  <c r="H32" i="2"/>
  <c r="G32" i="2"/>
  <c r="F32" i="2"/>
  <c r="J31" i="2"/>
  <c r="I31" i="2"/>
  <c r="H31" i="2"/>
  <c r="G31" i="2"/>
  <c r="F31" i="2"/>
  <c r="J26" i="2"/>
  <c r="I26" i="2"/>
  <c r="H26" i="2"/>
  <c r="G26" i="2"/>
  <c r="F26" i="2"/>
  <c r="J14" i="2"/>
  <c r="I14" i="2"/>
  <c r="H14" i="2"/>
  <c r="G14" i="2"/>
  <c r="F14" i="2"/>
  <c r="J13" i="2"/>
  <c r="I13" i="2"/>
  <c r="H13" i="2"/>
  <c r="G13" i="2"/>
  <c r="F13" i="2"/>
  <c r="Q68" i="1"/>
  <c r="Q67" i="1"/>
  <c r="K90" i="1"/>
  <c r="K84" i="1"/>
  <c r="K83" i="1"/>
  <c r="K82" i="1"/>
  <c r="K81" i="1"/>
  <c r="K80" i="1"/>
  <c r="G7" i="2"/>
  <c r="E8" i="11"/>
  <c r="E47" i="8"/>
  <c r="C47" i="8"/>
  <c r="F43" i="8"/>
  <c r="E26" i="10" s="1"/>
  <c r="E43" i="8"/>
  <c r="D26" i="10" s="1"/>
  <c r="D43" i="8"/>
  <c r="C26" i="10" s="1"/>
  <c r="B26" i="10"/>
  <c r="G42" i="8"/>
  <c r="F42" i="8"/>
  <c r="E42" i="8"/>
  <c r="D23" i="10" s="1"/>
  <c r="D42" i="8"/>
  <c r="C24" i="10"/>
  <c r="D38" i="8"/>
  <c r="D47" i="8" s="1"/>
  <c r="E38" i="8"/>
  <c r="F38" i="8"/>
  <c r="G38" i="8"/>
  <c r="C39" i="8"/>
  <c r="C38" i="8"/>
  <c r="D31" i="8"/>
  <c r="E31" i="8"/>
  <c r="E32" i="8" s="1"/>
  <c r="F31" i="8"/>
  <c r="G31" i="8"/>
  <c r="C32" i="8"/>
  <c r="C31" i="8"/>
  <c r="D26" i="8"/>
  <c r="D32" i="8" s="1"/>
  <c r="E26" i="8"/>
  <c r="F26" i="8"/>
  <c r="G26" i="8"/>
  <c r="C26" i="8"/>
  <c r="D17" i="8"/>
  <c r="E17" i="8"/>
  <c r="F17" i="8"/>
  <c r="G17" i="8"/>
  <c r="C17" i="8"/>
  <c r="E11" i="8"/>
  <c r="E46" i="8" s="1"/>
  <c r="F11" i="8"/>
  <c r="G11" i="8"/>
  <c r="D11" i="8"/>
  <c r="D44" i="8" s="1"/>
  <c r="C11" i="8"/>
  <c r="C46" i="8" s="1"/>
  <c r="B78" i="7"/>
  <c r="C68" i="7"/>
  <c r="B15" i="1"/>
  <c r="I13" i="6" s="1"/>
  <c r="D65" i="6"/>
  <c r="C65" i="6"/>
  <c r="B65" i="6"/>
  <c r="D8" i="6"/>
  <c r="D9" i="6"/>
  <c r="E9" i="6"/>
  <c r="F9" i="6"/>
  <c r="D10" i="6"/>
  <c r="E10" i="6"/>
  <c r="F10" i="6"/>
  <c r="D11" i="6"/>
  <c r="E11" i="6"/>
  <c r="F11" i="6"/>
  <c r="D12" i="6"/>
  <c r="E12" i="6"/>
  <c r="F12" i="6"/>
  <c r="C9" i="6"/>
  <c r="C10" i="6"/>
  <c r="C11" i="6"/>
  <c r="C12" i="6"/>
  <c r="D17" i="9"/>
  <c r="C10" i="9"/>
  <c r="D10" i="9"/>
  <c r="E10" i="9"/>
  <c r="F10" i="9"/>
  <c r="B10" i="9"/>
  <c r="B23" i="11"/>
  <c r="G26" i="9"/>
  <c r="G13" i="9"/>
  <c r="F34" i="6"/>
  <c r="E34" i="6"/>
  <c r="D34" i="6"/>
  <c r="C34" i="6"/>
  <c r="B34" i="6"/>
  <c r="B14" i="7"/>
  <c r="B28" i="6" s="1"/>
  <c r="B20" i="7"/>
  <c r="B35" i="6" s="1"/>
  <c r="J42" i="6" l="1"/>
  <c r="J13" i="6"/>
  <c r="J41" i="6"/>
  <c r="J17" i="6"/>
  <c r="J8" i="6"/>
  <c r="J16" i="6"/>
  <c r="J21" i="6"/>
  <c r="J37" i="6"/>
  <c r="J12" i="6"/>
  <c r="J20" i="6"/>
  <c r="J11" i="6"/>
  <c r="J25" i="6"/>
  <c r="J10" i="6"/>
  <c r="J24" i="6"/>
  <c r="J34" i="7" s="1"/>
  <c r="B33" i="6"/>
  <c r="F15" i="2"/>
  <c r="B32" i="6"/>
  <c r="K6" i="8"/>
  <c r="K10" i="8"/>
  <c r="K16" i="8"/>
  <c r="K24" i="8"/>
  <c r="K25" i="8"/>
  <c r="K37" i="8"/>
  <c r="K29" i="8"/>
  <c r="K30" i="8"/>
  <c r="F47" i="8"/>
  <c r="G47" i="8"/>
  <c r="F32" i="8"/>
  <c r="F46" i="8"/>
  <c r="G43" i="8"/>
  <c r="F26" i="10" s="1"/>
  <c r="D39" i="8"/>
  <c r="G48" i="5"/>
  <c r="F25" i="10"/>
  <c r="G32" i="8"/>
  <c r="G51" i="5" s="1"/>
  <c r="E45" i="8"/>
  <c r="E18" i="8"/>
  <c r="D25" i="10"/>
  <c r="G42" i="5"/>
  <c r="B36" i="9"/>
  <c r="B29" i="6"/>
  <c r="B30" i="6"/>
  <c r="E44" i="8"/>
  <c r="F45" i="8"/>
  <c r="E25" i="10"/>
  <c r="F18" i="8"/>
  <c r="D18" i="8"/>
  <c r="F44" i="8"/>
  <c r="C18" i="8"/>
  <c r="B114" i="5" s="1"/>
  <c r="G18" i="8"/>
  <c r="B25" i="10"/>
  <c r="D46" i="8"/>
  <c r="C45" i="8"/>
  <c r="C44" i="8"/>
  <c r="D45" i="8"/>
  <c r="G46" i="8"/>
  <c r="G45" i="8"/>
  <c r="G44" i="8"/>
  <c r="E24" i="10"/>
  <c r="B23" i="10"/>
  <c r="E23" i="10"/>
  <c r="F23" i="10"/>
  <c r="D24" i="10"/>
  <c r="F39" i="8"/>
  <c r="F24" i="10"/>
  <c r="E39" i="8"/>
  <c r="C23" i="10"/>
  <c r="B24" i="10"/>
  <c r="C25" i="10"/>
  <c r="I29" i="8"/>
  <c r="H16" i="8"/>
  <c r="J10" i="8"/>
  <c r="I6" i="8"/>
  <c r="H24" i="8"/>
  <c r="J29" i="8"/>
  <c r="H29" i="8"/>
  <c r="J37" i="8"/>
  <c r="H6" i="8"/>
  <c r="J16" i="8"/>
  <c r="J6" i="8"/>
  <c r="I24" i="8"/>
  <c r="H30" i="8"/>
  <c r="H10" i="8"/>
  <c r="J24" i="8"/>
  <c r="I30" i="8"/>
  <c r="I25" i="8"/>
  <c r="J25" i="8"/>
  <c r="I10" i="8"/>
  <c r="H25" i="8"/>
  <c r="J30" i="8"/>
  <c r="H37" i="8"/>
  <c r="I37" i="8"/>
  <c r="I16" i="8"/>
  <c r="G9" i="6"/>
  <c r="G9" i="7" s="1"/>
  <c r="G8" i="6"/>
  <c r="H12" i="6"/>
  <c r="I8" i="6"/>
  <c r="I42" i="6"/>
  <c r="H8" i="6"/>
  <c r="G41" i="6"/>
  <c r="H41" i="6"/>
  <c r="I9" i="6"/>
  <c r="G24" i="6"/>
  <c r="G34" i="7" s="1"/>
  <c r="I41" i="6"/>
  <c r="G10" i="6"/>
  <c r="G10" i="7" s="1"/>
  <c r="H24" i="6"/>
  <c r="H34" i="7" s="1"/>
  <c r="G42" i="6"/>
  <c r="H10" i="6"/>
  <c r="I24" i="6"/>
  <c r="I34" i="7" s="1"/>
  <c r="H42" i="6"/>
  <c r="I12" i="6"/>
  <c r="I10" i="6"/>
  <c r="G11" i="6"/>
  <c r="G11" i="7" s="1"/>
  <c r="H11" i="6"/>
  <c r="I11" i="6"/>
  <c r="G13" i="6"/>
  <c r="H9" i="6"/>
  <c r="G12" i="6"/>
  <c r="G12" i="7" s="1"/>
  <c r="H13" i="6"/>
  <c r="C14" i="7"/>
  <c r="G18" i="5" s="1" a="1"/>
  <c r="G18" i="5" s="1"/>
  <c r="D14" i="7"/>
  <c r="E14" i="7"/>
  <c r="F14" i="7"/>
  <c r="B33" i="10"/>
  <c r="F78" i="7"/>
  <c r="F79" i="7" s="1"/>
  <c r="F76" i="7"/>
  <c r="F77" i="7" s="1"/>
  <c r="E78" i="7"/>
  <c r="E79" i="7" s="1"/>
  <c r="E76" i="7"/>
  <c r="E77" i="7" s="1"/>
  <c r="D78" i="7"/>
  <c r="D79" i="7" s="1"/>
  <c r="D76" i="7"/>
  <c r="D77" i="7" s="1"/>
  <c r="C78" i="7"/>
  <c r="C79" i="7" s="1"/>
  <c r="C76" i="7"/>
  <c r="C77" i="7" s="1"/>
  <c r="B79" i="7"/>
  <c r="B76" i="7"/>
  <c r="B77" i="7" s="1"/>
  <c r="F72" i="7"/>
  <c r="E72" i="7"/>
  <c r="D72" i="7"/>
  <c r="C72" i="7"/>
  <c r="F71" i="7"/>
  <c r="E71" i="7"/>
  <c r="D71" i="7"/>
  <c r="C71" i="7"/>
  <c r="F70" i="7"/>
  <c r="E70" i="7"/>
  <c r="D70" i="7"/>
  <c r="C70" i="7"/>
  <c r="F69" i="7"/>
  <c r="E69" i="7"/>
  <c r="D69" i="7"/>
  <c r="C69" i="7"/>
  <c r="F68" i="7"/>
  <c r="E68" i="7"/>
  <c r="D68" i="7"/>
  <c r="F57" i="7"/>
  <c r="F65" i="7" s="1"/>
  <c r="E57" i="7"/>
  <c r="E65" i="7" s="1"/>
  <c r="D57" i="7"/>
  <c r="D65" i="7" s="1"/>
  <c r="C57" i="7"/>
  <c r="C65" i="7" s="1"/>
  <c r="B57" i="7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C113" i="1"/>
  <c r="C112" i="1"/>
  <c r="C111" i="1"/>
  <c r="C110" i="1"/>
  <c r="C109" i="1"/>
  <c r="C106" i="1"/>
  <c r="C105" i="1"/>
  <c r="C102" i="1"/>
  <c r="C101" i="1"/>
  <c r="C100" i="1"/>
  <c r="C99" i="1"/>
  <c r="C98" i="1"/>
  <c r="G94" i="1"/>
  <c r="G93" i="1"/>
  <c r="F94" i="1"/>
  <c r="F93" i="1"/>
  <c r="E94" i="1"/>
  <c r="E93" i="1"/>
  <c r="D94" i="1"/>
  <c r="D93" i="1"/>
  <c r="C94" i="1"/>
  <c r="C93" i="1"/>
  <c r="Q74" i="1"/>
  <c r="Q73" i="1"/>
  <c r="C90" i="1"/>
  <c r="D90" i="1"/>
  <c r="E90" i="1"/>
  <c r="F90" i="1"/>
  <c r="G90" i="1"/>
  <c r="O9" i="1" s="1"/>
  <c r="H80" i="1"/>
  <c r="I80" i="1" s="1"/>
  <c r="H81" i="1"/>
  <c r="I81" i="1" s="1"/>
  <c r="J81" i="1" s="1"/>
  <c r="H82" i="1"/>
  <c r="I82" i="1" s="1"/>
  <c r="J82" i="1" s="1"/>
  <c r="H83" i="1"/>
  <c r="I83" i="1" s="1"/>
  <c r="J83" i="1" s="1"/>
  <c r="H84" i="1"/>
  <c r="I84" i="1" s="1"/>
  <c r="J84" i="1" s="1"/>
  <c r="C76" i="1"/>
  <c r="D76" i="1"/>
  <c r="E76" i="1"/>
  <c r="F76" i="1"/>
  <c r="G76" i="1"/>
  <c r="H66" i="1"/>
  <c r="I66" i="1" s="1"/>
  <c r="H67" i="1"/>
  <c r="I67" i="1" s="1"/>
  <c r="J67" i="1" s="1"/>
  <c r="H68" i="1"/>
  <c r="I68" i="1" s="1"/>
  <c r="J68" i="1" s="1"/>
  <c r="H69" i="1"/>
  <c r="I69" i="1" s="1"/>
  <c r="J69" i="1" s="1"/>
  <c r="H70" i="1"/>
  <c r="I70" i="1" s="1"/>
  <c r="J70" i="1" s="1"/>
  <c r="D73" i="11"/>
  <c r="C73" i="11"/>
  <c r="B73" i="11"/>
  <c r="E72" i="11"/>
  <c r="E71" i="11"/>
  <c r="B27" i="11"/>
  <c r="B25" i="11"/>
  <c r="D8" i="11"/>
  <c r="C8" i="11"/>
  <c r="B8" i="11"/>
  <c r="F27" i="9"/>
  <c r="E27" i="9"/>
  <c r="D27" i="9"/>
  <c r="C27" i="9"/>
  <c r="B27" i="9"/>
  <c r="F17" i="9"/>
  <c r="E17" i="9"/>
  <c r="C17" i="9"/>
  <c r="B17" i="9"/>
  <c r="F27" i="7"/>
  <c r="E27" i="7"/>
  <c r="D27" i="7"/>
  <c r="C27" i="7"/>
  <c r="B27" i="7"/>
  <c r="F20" i="7"/>
  <c r="E20" i="7"/>
  <c r="D20" i="7"/>
  <c r="C20" i="7"/>
  <c r="D33" i="10"/>
  <c r="B53" i="6"/>
  <c r="B51" i="6"/>
  <c r="F42" i="6"/>
  <c r="E42" i="6"/>
  <c r="D42" i="6"/>
  <c r="C42" i="6"/>
  <c r="B42" i="6"/>
  <c r="F38" i="6"/>
  <c r="E38" i="6"/>
  <c r="D38" i="6"/>
  <c r="C38" i="6"/>
  <c r="B38" i="6"/>
  <c r="F24" i="6"/>
  <c r="E24" i="6"/>
  <c r="D24" i="6"/>
  <c r="C24" i="6"/>
  <c r="B24" i="6"/>
  <c r="F21" i="6"/>
  <c r="E21" i="6"/>
  <c r="C21" i="6"/>
  <c r="B21" i="6"/>
  <c r="F20" i="6"/>
  <c r="E20" i="6"/>
  <c r="D20" i="6"/>
  <c r="C20" i="6"/>
  <c r="B20" i="6"/>
  <c r="F17" i="6"/>
  <c r="E17" i="6"/>
  <c r="D17" i="6"/>
  <c r="C17" i="6"/>
  <c r="B17" i="6"/>
  <c r="F16" i="6"/>
  <c r="E16" i="6"/>
  <c r="D16" i="6"/>
  <c r="C16" i="6"/>
  <c r="B16" i="6"/>
  <c r="F13" i="6"/>
  <c r="E13" i="6"/>
  <c r="D13" i="6"/>
  <c r="C13" i="6"/>
  <c r="B13" i="6"/>
  <c r="F8" i="6"/>
  <c r="E8" i="6"/>
  <c r="C8" i="6"/>
  <c r="B8" i="6"/>
  <c r="K42" i="8" l="1"/>
  <c r="H42" i="8"/>
  <c r="J26" i="9"/>
  <c r="I42" i="8"/>
  <c r="K31" i="8"/>
  <c r="J42" i="8"/>
  <c r="D114" i="5"/>
  <c r="G39" i="8"/>
  <c r="G53" i="5" s="1"/>
  <c r="C114" i="5"/>
  <c r="G54" i="5"/>
  <c r="E114" i="5"/>
  <c r="G45" i="5"/>
  <c r="C35" i="6"/>
  <c r="C30" i="6"/>
  <c r="C29" i="6"/>
  <c r="D29" i="6"/>
  <c r="D35" i="6"/>
  <c r="D30" i="6"/>
  <c r="E30" i="6"/>
  <c r="E29" i="6"/>
  <c r="E35" i="6"/>
  <c r="F30" i="6"/>
  <c r="F29" i="6"/>
  <c r="F35" i="6"/>
  <c r="B65" i="7"/>
  <c r="B62" i="7"/>
  <c r="B61" i="7"/>
  <c r="F37" i="6"/>
  <c r="F32" i="6"/>
  <c r="F33" i="6"/>
  <c r="F28" i="6"/>
  <c r="F36" i="9"/>
  <c r="J15" i="2"/>
  <c r="E15" i="7"/>
  <c r="I15" i="2"/>
  <c r="E32" i="6"/>
  <c r="E33" i="6"/>
  <c r="E36" i="9"/>
  <c r="E28" i="6"/>
  <c r="H15" i="2"/>
  <c r="D28" i="6"/>
  <c r="D32" i="6"/>
  <c r="D33" i="6"/>
  <c r="D36" i="9"/>
  <c r="G15" i="2"/>
  <c r="C28" i="6"/>
  <c r="C33" i="6"/>
  <c r="C32" i="6"/>
  <c r="C36" i="9"/>
  <c r="I31" i="8"/>
  <c r="H31" i="8"/>
  <c r="H26" i="9"/>
  <c r="J31" i="8"/>
  <c r="I26" i="9"/>
  <c r="H12" i="7"/>
  <c r="I12" i="7" s="1"/>
  <c r="J12" i="7" s="1"/>
  <c r="H10" i="7"/>
  <c r="I10" i="7" s="1"/>
  <c r="J10" i="7" s="1"/>
  <c r="H11" i="7"/>
  <c r="I11" i="7" s="1"/>
  <c r="J11" i="7" s="1"/>
  <c r="H9" i="7"/>
  <c r="I9" i="7" s="1"/>
  <c r="J9" i="7" s="1"/>
  <c r="D15" i="7"/>
  <c r="C15" i="7"/>
  <c r="E33" i="10"/>
  <c r="F15" i="7"/>
  <c r="C21" i="7"/>
  <c r="D37" i="6"/>
  <c r="C37" i="6"/>
  <c r="E80" i="7"/>
  <c r="E81" i="7" s="1"/>
  <c r="B80" i="7"/>
  <c r="B81" i="7" s="1"/>
  <c r="F80" i="7"/>
  <c r="F81" i="7" s="1"/>
  <c r="E95" i="1"/>
  <c r="B37" i="6"/>
  <c r="E58" i="7"/>
  <c r="E61" i="7"/>
  <c r="E62" i="7"/>
  <c r="E63" i="7"/>
  <c r="E64" i="7"/>
  <c r="D80" i="7"/>
  <c r="D81" i="7" s="1"/>
  <c r="B21" i="7"/>
  <c r="B28" i="7" s="1"/>
  <c r="D95" i="1"/>
  <c r="F58" i="7"/>
  <c r="F61" i="7"/>
  <c r="F62" i="7"/>
  <c r="F63" i="7"/>
  <c r="F64" i="7"/>
  <c r="G95" i="1"/>
  <c r="C80" i="7"/>
  <c r="C81" i="7" s="1"/>
  <c r="B58" i="7"/>
  <c r="B63" i="7"/>
  <c r="B64" i="7"/>
  <c r="C58" i="7"/>
  <c r="C61" i="7"/>
  <c r="C62" i="7"/>
  <c r="C63" i="7"/>
  <c r="C64" i="7"/>
  <c r="F95" i="1"/>
  <c r="D58" i="7"/>
  <c r="D61" i="7"/>
  <c r="D62" i="7"/>
  <c r="D63" i="7"/>
  <c r="D64" i="7"/>
  <c r="J80" i="1"/>
  <c r="J90" i="1" s="1"/>
  <c r="I90" i="1"/>
  <c r="J66" i="1"/>
  <c r="J76" i="1" s="1"/>
  <c r="I76" i="1"/>
  <c r="H76" i="1"/>
  <c r="H90" i="1"/>
  <c r="D21" i="7"/>
  <c r="C13" i="10"/>
  <c r="F21" i="7"/>
  <c r="D13" i="10"/>
  <c r="F33" i="10"/>
  <c r="E13" i="10"/>
  <c r="F13" i="10"/>
  <c r="E37" i="6"/>
  <c r="C33" i="10"/>
  <c r="E21" i="7"/>
  <c r="B20" i="10" l="1"/>
  <c r="B22" i="7"/>
  <c r="B7" i="10"/>
  <c r="G22" i="5" a="1"/>
  <c r="G22" i="5" s="1"/>
  <c r="F114" i="5"/>
  <c r="J8" i="7"/>
  <c r="I8" i="7"/>
  <c r="M13" i="2" s="1"/>
  <c r="B35" i="7"/>
  <c r="B31" i="7"/>
  <c r="B32" i="7" s="1"/>
  <c r="F19" i="2"/>
  <c r="C7" i="10"/>
  <c r="C22" i="7"/>
  <c r="C28" i="7"/>
  <c r="C20" i="10" s="1"/>
  <c r="D28" i="7"/>
  <c r="D20" i="10" s="1"/>
  <c r="D22" i="7"/>
  <c r="D7" i="10"/>
  <c r="H19" i="2" s="1"/>
  <c r="E22" i="7"/>
  <c r="E28" i="7"/>
  <c r="E20" i="10" s="1"/>
  <c r="E7" i="10"/>
  <c r="B10" i="10"/>
  <c r="F28" i="7"/>
  <c r="F20" i="10" s="1"/>
  <c r="F7" i="10"/>
  <c r="F22" i="7"/>
  <c r="G26" i="5" l="1" a="1"/>
  <c r="G26" i="5" s="1"/>
  <c r="J18" i="7"/>
  <c r="N13" i="2"/>
  <c r="K93" i="1"/>
  <c r="B38" i="7"/>
  <c r="B37" i="7"/>
  <c r="C116" i="1"/>
  <c r="F116" i="1"/>
  <c r="I19" i="2"/>
  <c r="D116" i="1"/>
  <c r="G19" i="2"/>
  <c r="G116" i="1"/>
  <c r="J19" i="2"/>
  <c r="C31" i="7"/>
  <c r="C32" i="7" s="1"/>
  <c r="E31" i="7"/>
  <c r="E32" i="7" s="1"/>
  <c r="F31" i="7"/>
  <c r="F32" i="7" s="1"/>
  <c r="C35" i="7"/>
  <c r="C25" i="6" s="1"/>
  <c r="D29" i="7"/>
  <c r="D31" i="7"/>
  <c r="D32" i="7" s="1"/>
  <c r="C14" i="10"/>
  <c r="B29" i="7"/>
  <c r="C8" i="10"/>
  <c r="C10" i="10"/>
  <c r="C29" i="7"/>
  <c r="B8" i="10"/>
  <c r="D14" i="10"/>
  <c r="D10" i="10"/>
  <c r="E116" i="1"/>
  <c r="D35" i="7"/>
  <c r="G28" i="5" s="1" a="1"/>
  <c r="G28" i="5" s="1"/>
  <c r="D8" i="10"/>
  <c r="H20" i="2" s="1"/>
  <c r="F29" i="7"/>
  <c r="F10" i="10"/>
  <c r="F8" i="10"/>
  <c r="F14" i="10"/>
  <c r="F35" i="7"/>
  <c r="E29" i="7"/>
  <c r="E10" i="10"/>
  <c r="E8" i="10"/>
  <c r="E14" i="10"/>
  <c r="E35" i="7"/>
  <c r="J76" i="7" l="1"/>
  <c r="J77" i="7"/>
  <c r="B19" i="10"/>
  <c r="B18" i="10"/>
  <c r="D117" i="1"/>
  <c r="G20" i="2"/>
  <c r="G117" i="1"/>
  <c r="J20" i="2"/>
  <c r="C117" i="1"/>
  <c r="F20" i="2"/>
  <c r="F117" i="1"/>
  <c r="I20" i="2"/>
  <c r="C37" i="7"/>
  <c r="C38" i="7"/>
  <c r="C9" i="10" s="1"/>
  <c r="B25" i="6"/>
  <c r="D38" i="7"/>
  <c r="G30" i="5" s="1" a="1"/>
  <c r="G30" i="5" s="1"/>
  <c r="D25" i="6"/>
  <c r="D37" i="7"/>
  <c r="E117" i="1"/>
  <c r="F38" i="7"/>
  <c r="F37" i="7"/>
  <c r="F25" i="6"/>
  <c r="E25" i="6"/>
  <c r="E38" i="7"/>
  <c r="E37" i="7"/>
  <c r="B9" i="10"/>
  <c r="B11" i="9"/>
  <c r="B116" i="5" s="1"/>
  <c r="B39" i="7"/>
  <c r="C15" i="10" l="1"/>
  <c r="C19" i="10"/>
  <c r="C18" i="10"/>
  <c r="F19" i="10"/>
  <c r="F18" i="10"/>
  <c r="E19" i="10"/>
  <c r="E18" i="10"/>
  <c r="D15" i="10"/>
  <c r="D18" i="10"/>
  <c r="D19" i="10"/>
  <c r="C118" i="1"/>
  <c r="F21" i="2"/>
  <c r="D118" i="1"/>
  <c r="G21" i="2"/>
  <c r="C39" i="7"/>
  <c r="C11" i="9"/>
  <c r="D9" i="10"/>
  <c r="H21" i="2" s="1"/>
  <c r="D11" i="9"/>
  <c r="D116" i="5" s="1"/>
  <c r="D39" i="7"/>
  <c r="E15" i="10"/>
  <c r="E11" i="9"/>
  <c r="E116" i="5" s="1"/>
  <c r="E39" i="7"/>
  <c r="E9" i="10"/>
  <c r="B14" i="9"/>
  <c r="F11" i="9"/>
  <c r="F116" i="5" s="1"/>
  <c r="F39" i="7"/>
  <c r="F9" i="10"/>
  <c r="F15" i="10"/>
  <c r="C14" i="9" l="1"/>
  <c r="C29" i="9" s="1"/>
  <c r="C116" i="5"/>
  <c r="G118" i="1"/>
  <c r="J21" i="2"/>
  <c r="B34" i="9"/>
  <c r="B35" i="9" s="1"/>
  <c r="F25" i="2"/>
  <c r="F118" i="1"/>
  <c r="I21" i="2"/>
  <c r="G25" i="2"/>
  <c r="C34" i="9"/>
  <c r="C35" i="9" s="1"/>
  <c r="D14" i="9"/>
  <c r="E118" i="1"/>
  <c r="B29" i="9"/>
  <c r="B21" i="9"/>
  <c r="B29" i="10"/>
  <c r="E14" i="9"/>
  <c r="C21" i="9"/>
  <c r="G27" i="2" s="1"/>
  <c r="C29" i="10"/>
  <c r="F14" i="9"/>
  <c r="G63" i="5" l="1"/>
  <c r="B30" i="9"/>
  <c r="J25" i="2"/>
  <c r="F34" i="9"/>
  <c r="F35" i="9" s="1"/>
  <c r="H25" i="2"/>
  <c r="D34" i="9"/>
  <c r="D35" i="9" s="1"/>
  <c r="E34" i="9"/>
  <c r="E35" i="9" s="1"/>
  <c r="I25" i="2"/>
  <c r="C129" i="1"/>
  <c r="F27" i="2"/>
  <c r="D129" i="1"/>
  <c r="D29" i="10"/>
  <c r="D29" i="9"/>
  <c r="G72" i="5" s="1"/>
  <c r="D21" i="9"/>
  <c r="H27" i="2" s="1"/>
  <c r="F29" i="9"/>
  <c r="F21" i="9"/>
  <c r="J27" i="2" s="1"/>
  <c r="F29" i="10"/>
  <c r="E29" i="10"/>
  <c r="E29" i="9"/>
  <c r="E21" i="9"/>
  <c r="I27" i="2" s="1"/>
  <c r="B41" i="6"/>
  <c r="B32" i="10"/>
  <c r="B31" i="10"/>
  <c r="C119" i="1" s="1"/>
  <c r="B30" i="10"/>
  <c r="C32" i="10"/>
  <c r="C31" i="10"/>
  <c r="D119" i="1" s="1"/>
  <c r="C30" i="10"/>
  <c r="C41" i="6"/>
  <c r="G67" i="5" l="1"/>
  <c r="C7" i="9"/>
  <c r="C115" i="5"/>
  <c r="G129" i="1"/>
  <c r="E129" i="1"/>
  <c r="D31" i="10"/>
  <c r="D30" i="10"/>
  <c r="D41" i="6"/>
  <c r="D32" i="10"/>
  <c r="F129" i="1"/>
  <c r="F32" i="10"/>
  <c r="F31" i="10"/>
  <c r="G119" i="1" s="1"/>
  <c r="F30" i="10"/>
  <c r="F41" i="6"/>
  <c r="E32" i="10"/>
  <c r="E31" i="10"/>
  <c r="F119" i="1" s="1"/>
  <c r="E30" i="10"/>
  <c r="E41" i="6"/>
  <c r="C30" i="9" l="1"/>
  <c r="E119" i="1"/>
  <c r="D7" i="9" l="1"/>
  <c r="D115" i="5"/>
  <c r="G21" i="6"/>
  <c r="G26" i="7" s="1"/>
  <c r="J52" i="1" s="1"/>
  <c r="B47" i="6"/>
  <c r="I21" i="6"/>
  <c r="I16" i="6"/>
  <c r="H16" i="6"/>
  <c r="B46" i="6"/>
  <c r="G17" i="6"/>
  <c r="B55" i="6"/>
  <c r="G16" i="6"/>
  <c r="H17" i="6"/>
  <c r="G25" i="6"/>
  <c r="H25" i="6"/>
  <c r="I25" i="6"/>
  <c r="I17" i="6"/>
  <c r="H21" i="6"/>
  <c r="H20" i="6"/>
  <c r="I20" i="6"/>
  <c r="G20" i="6"/>
  <c r="G25" i="7" s="1"/>
  <c r="J51" i="1" s="1"/>
  <c r="B45" i="6"/>
  <c r="G13" i="7"/>
  <c r="H37" i="6"/>
  <c r="G37" i="6"/>
  <c r="I37" i="6"/>
  <c r="D30" i="9" l="1"/>
  <c r="H23" i="8"/>
  <c r="K14" i="2"/>
  <c r="H25" i="7"/>
  <c r="K51" i="1" s="1"/>
  <c r="H13" i="7"/>
  <c r="G27" i="7"/>
  <c r="B48" i="6"/>
  <c r="B54" i="6" s="1"/>
  <c r="E44" i="11" s="1"/>
  <c r="H26" i="7"/>
  <c r="K52" i="1" s="1"/>
  <c r="G19" i="7"/>
  <c r="H94" i="1"/>
  <c r="B46" i="11" l="1"/>
  <c r="D44" i="11"/>
  <c r="D45" i="11"/>
  <c r="D46" i="11"/>
  <c r="F45" i="11"/>
  <c r="E46" i="11"/>
  <c r="B45" i="11"/>
  <c r="D47" i="11"/>
  <c r="C48" i="11"/>
  <c r="C44" i="11"/>
  <c r="B44" i="11"/>
  <c r="F47" i="11"/>
  <c r="C46" i="11"/>
  <c r="E48" i="11"/>
  <c r="B47" i="11"/>
  <c r="E7" i="9"/>
  <c r="E115" i="5"/>
  <c r="E47" i="11"/>
  <c r="B68" i="11" s="1"/>
  <c r="E45" i="11"/>
  <c r="C45" i="11"/>
  <c r="B48" i="11"/>
  <c r="F48" i="11"/>
  <c r="D68" i="11" s="1"/>
  <c r="D48" i="11"/>
  <c r="F16" i="11"/>
  <c r="E16" i="11"/>
  <c r="F44" i="11"/>
  <c r="C47" i="11"/>
  <c r="F46" i="11"/>
  <c r="I13" i="7"/>
  <c r="L14" i="2"/>
  <c r="I25" i="7"/>
  <c r="H27" i="7"/>
  <c r="D66" i="11"/>
  <c r="D67" i="11"/>
  <c r="I23" i="8"/>
  <c r="H19" i="7"/>
  <c r="I94" i="1"/>
  <c r="G78" i="7"/>
  <c r="G79" i="7" s="1"/>
  <c r="I26" i="7"/>
  <c r="C16" i="11"/>
  <c r="D16" i="11"/>
  <c r="B16" i="11"/>
  <c r="J26" i="7" l="1"/>
  <c r="M52" i="1" s="1"/>
  <c r="L52" i="1"/>
  <c r="J25" i="7"/>
  <c r="M51" i="1" s="1"/>
  <c r="L51" i="1"/>
  <c r="E30" i="9"/>
  <c r="M14" i="2"/>
  <c r="J13" i="7"/>
  <c r="I27" i="7"/>
  <c r="I19" i="7"/>
  <c r="J23" i="8"/>
  <c r="J94" i="1"/>
  <c r="C68" i="11"/>
  <c r="H78" i="7"/>
  <c r="H79" i="7" s="1"/>
  <c r="E68" i="11"/>
  <c r="B67" i="11"/>
  <c r="E67" i="11" s="1"/>
  <c r="C67" i="11"/>
  <c r="B66" i="11"/>
  <c r="E66" i="11" s="1"/>
  <c r="C66" i="11"/>
  <c r="J27" i="7" l="1"/>
  <c r="F7" i="9"/>
  <c r="K94" i="1"/>
  <c r="K23" i="8"/>
  <c r="J19" i="7"/>
  <c r="N14" i="2"/>
  <c r="J14" i="7"/>
  <c r="I78" i="7"/>
  <c r="I79" i="7" s="1"/>
  <c r="J38" i="6" l="1"/>
  <c r="M48" i="1"/>
  <c r="J78" i="7"/>
  <c r="M49" i="1"/>
  <c r="F30" i="9"/>
  <c r="G59" i="5"/>
  <c r="F115" i="5"/>
  <c r="J79" i="7"/>
  <c r="J80" i="7"/>
  <c r="J81" i="7" s="1"/>
  <c r="J20" i="7"/>
  <c r="N15" i="2"/>
  <c r="J12" i="9"/>
  <c r="J19" i="9"/>
  <c r="E105" i="5" s="1"/>
  <c r="K7" i="8"/>
  <c r="K22" i="8"/>
  <c r="B12" i="11"/>
  <c r="G7" i="9" l="1"/>
  <c r="G115" i="5" s="1"/>
  <c r="G73" i="5"/>
  <c r="E78" i="5"/>
  <c r="E80" i="5"/>
  <c r="E79" i="5"/>
  <c r="K21" i="8"/>
  <c r="K26" i="8" s="1"/>
  <c r="K32" i="8" s="1"/>
  <c r="K9" i="8"/>
  <c r="K8" i="8"/>
  <c r="J21" i="7"/>
  <c r="M50" i="1" s="1"/>
  <c r="J17" i="9"/>
  <c r="E11" i="11"/>
  <c r="J36" i="9"/>
  <c r="J33" i="10"/>
  <c r="N26" i="2"/>
  <c r="J22" i="7" l="1"/>
  <c r="E101" i="5" s="1"/>
  <c r="J28" i="7"/>
  <c r="M53" i="1" s="1"/>
  <c r="J7" i="10"/>
  <c r="N19" i="2" l="1"/>
  <c r="K116" i="1"/>
  <c r="J8" i="10"/>
  <c r="E7" i="11"/>
  <c r="E9" i="11" s="1"/>
  <c r="J35" i="7"/>
  <c r="J29" i="7"/>
  <c r="E102" i="5" s="1"/>
  <c r="N20" i="2" l="1"/>
  <c r="K117" i="1"/>
  <c r="J36" i="7"/>
  <c r="M54" i="1" s="1"/>
  <c r="G14" i="7"/>
  <c r="J48" i="1" s="1"/>
  <c r="G8" i="7"/>
  <c r="K15" i="2" l="1"/>
  <c r="G56" i="7"/>
  <c r="G52" i="7"/>
  <c r="G55" i="7"/>
  <c r="G54" i="7"/>
  <c r="G53" i="7"/>
  <c r="H93" i="1"/>
  <c r="K13" i="2"/>
  <c r="J37" i="7"/>
  <c r="E103" i="5" s="1"/>
  <c r="J38" i="7"/>
  <c r="C9" i="1"/>
  <c r="G38" i="6"/>
  <c r="H14" i="8" s="1"/>
  <c r="G18" i="7"/>
  <c r="J49" i="1" s="1"/>
  <c r="C8" i="1"/>
  <c r="H22" i="8"/>
  <c r="H95" i="1"/>
  <c r="G13" i="10"/>
  <c r="G15" i="7"/>
  <c r="B100" i="5" s="1"/>
  <c r="H7" i="8"/>
  <c r="G12" i="9"/>
  <c r="G19" i="9"/>
  <c r="E107" i="5" l="1"/>
  <c r="M55" i="1"/>
  <c r="K26" i="2"/>
  <c r="B105" i="5"/>
  <c r="G57" i="7"/>
  <c r="G58" i="7" s="1"/>
  <c r="B69" i="11"/>
  <c r="J11" i="9"/>
  <c r="J116" i="5" s="1"/>
  <c r="J39" i="7"/>
  <c r="E104" i="5" s="1"/>
  <c r="D69" i="11"/>
  <c r="J9" i="10"/>
  <c r="C69" i="11"/>
  <c r="G76" i="7"/>
  <c r="G80" i="7" s="1"/>
  <c r="G81" i="7" s="1"/>
  <c r="G20" i="7"/>
  <c r="G21" i="7" s="1"/>
  <c r="G30" i="7"/>
  <c r="G10" i="9"/>
  <c r="G117" i="5" s="1"/>
  <c r="G68" i="7"/>
  <c r="G69" i="7"/>
  <c r="G33" i="10"/>
  <c r="G36" i="9"/>
  <c r="B11" i="11"/>
  <c r="G70" i="7"/>
  <c r="G71" i="7"/>
  <c r="G72" i="7"/>
  <c r="H35" i="8"/>
  <c r="G22" i="7" l="1"/>
  <c r="B101" i="5" s="1"/>
  <c r="J50" i="1"/>
  <c r="N21" i="2"/>
  <c r="K118" i="1"/>
  <c r="H21" i="8"/>
  <c r="H26" i="8" s="1"/>
  <c r="H32" i="8" s="1"/>
  <c r="G28" i="7"/>
  <c r="G7" i="10"/>
  <c r="K19" i="2" s="1"/>
  <c r="G77" i="7"/>
  <c r="H9" i="8"/>
  <c r="H8" i="8"/>
  <c r="B10" i="11"/>
  <c r="G62" i="7"/>
  <c r="G65" i="7"/>
  <c r="G63" i="7"/>
  <c r="G64" i="7"/>
  <c r="G61" i="7"/>
  <c r="G35" i="7" l="1"/>
  <c r="J53" i="1"/>
  <c r="G31" i="7"/>
  <c r="G32" i="7" s="1"/>
  <c r="H13" i="9"/>
  <c r="B7" i="11"/>
  <c r="G29" i="7"/>
  <c r="B102" i="5" s="1"/>
  <c r="H116" i="1"/>
  <c r="G8" i="10"/>
  <c r="G10" i="10"/>
  <c r="G14" i="10"/>
  <c r="G36" i="7"/>
  <c r="J54" i="1" s="1"/>
  <c r="B9" i="11" l="1"/>
  <c r="H117" i="1"/>
  <c r="K20" i="2"/>
  <c r="C12" i="11"/>
  <c r="G37" i="7"/>
  <c r="B103" i="5" s="1"/>
  <c r="G38" i="7"/>
  <c r="B107" i="5" l="1"/>
  <c r="J55" i="1"/>
  <c r="G15" i="10"/>
  <c r="G8" i="1"/>
  <c r="G9" i="1"/>
  <c r="G11" i="9"/>
  <c r="G116" i="5" s="1"/>
  <c r="G39" i="7"/>
  <c r="B104" i="5" s="1"/>
  <c r="G9" i="10"/>
  <c r="K21" i="2" s="1"/>
  <c r="G14" i="9" l="1"/>
  <c r="K25" i="2" s="1"/>
  <c r="H118" i="1"/>
  <c r="G34" i="9" l="1"/>
  <c r="G35" i="9" s="1"/>
  <c r="G29" i="10"/>
  <c r="G21" i="9"/>
  <c r="J57" i="1" s="1"/>
  <c r="K27" i="2" l="1"/>
  <c r="B106" i="5"/>
  <c r="G30" i="10"/>
  <c r="G24" i="9"/>
  <c r="K31" i="2" s="1"/>
  <c r="Q71" i="1"/>
  <c r="Q70" i="1"/>
  <c r="G31" i="10"/>
  <c r="H129" i="1"/>
  <c r="K8" i="1"/>
  <c r="G32" i="10"/>
  <c r="G25" i="9"/>
  <c r="K32" i="2" s="1"/>
  <c r="K9" i="1"/>
  <c r="H36" i="8" l="1"/>
  <c r="H38" i="8" s="1"/>
  <c r="G44" i="7"/>
  <c r="H119" i="1"/>
  <c r="G27" i="9"/>
  <c r="G43" i="7" l="1"/>
  <c r="J56" i="1" s="1"/>
  <c r="G42" i="7"/>
  <c r="H39" i="8"/>
  <c r="H47" i="8"/>
  <c r="G45" i="7"/>
  <c r="S9" i="1" l="1"/>
  <c r="S8" i="1"/>
  <c r="G24" i="10"/>
  <c r="G23" i="10"/>
  <c r="G20" i="10"/>
  <c r="G19" i="10"/>
  <c r="H14" i="7" l="1"/>
  <c r="K48" i="1" s="1"/>
  <c r="H8" i="7"/>
  <c r="L13" i="2" s="1"/>
  <c r="L15" i="2" l="1"/>
  <c r="H53" i="7"/>
  <c r="H56" i="7"/>
  <c r="H52" i="7"/>
  <c r="H54" i="7"/>
  <c r="H55" i="7"/>
  <c r="I95" i="1"/>
  <c r="H38" i="6"/>
  <c r="H13" i="10"/>
  <c r="H12" i="9"/>
  <c r="I35" i="8" s="1"/>
  <c r="I93" i="1"/>
  <c r="H18" i="7"/>
  <c r="K49" i="1" s="1"/>
  <c r="H19" i="9"/>
  <c r="I7" i="8"/>
  <c r="I22" i="8"/>
  <c r="H15" i="7"/>
  <c r="C100" i="5" s="1"/>
  <c r="L26" i="2" l="1"/>
  <c r="C105" i="5"/>
  <c r="H57" i="7"/>
  <c r="H58" i="7" s="1"/>
  <c r="H30" i="7"/>
  <c r="H10" i="9"/>
  <c r="I14" i="8"/>
  <c r="H71" i="7"/>
  <c r="H36" i="9"/>
  <c r="C11" i="11"/>
  <c r="H33" i="10"/>
  <c r="H20" i="7"/>
  <c r="H76" i="7"/>
  <c r="H70" i="7"/>
  <c r="H68" i="7"/>
  <c r="H72" i="7"/>
  <c r="H69" i="7"/>
  <c r="H117" i="5" l="1"/>
  <c r="C10" i="11"/>
  <c r="H65" i="7"/>
  <c r="H64" i="7"/>
  <c r="H62" i="7"/>
  <c r="H77" i="7"/>
  <c r="H80" i="7"/>
  <c r="H81" i="7" s="1"/>
  <c r="I9" i="8"/>
  <c r="I8" i="8"/>
  <c r="I21" i="8"/>
  <c r="I26" i="8" s="1"/>
  <c r="H21" i="7"/>
  <c r="K50" i="1" s="1"/>
  <c r="H63" i="7"/>
  <c r="H61" i="7"/>
  <c r="H28" i="7" l="1"/>
  <c r="K53" i="1" s="1"/>
  <c r="H7" i="10"/>
  <c r="L19" i="2" s="1"/>
  <c r="H22" i="7"/>
  <c r="C101" i="5" s="1"/>
  <c r="I32" i="8"/>
  <c r="I13" i="9"/>
  <c r="D12" i="11" l="1"/>
  <c r="I116" i="1"/>
  <c r="H29" i="7"/>
  <c r="C102" i="5" s="1"/>
  <c r="H35" i="7"/>
  <c r="H8" i="10"/>
  <c r="L20" i="2" s="1"/>
  <c r="H14" i="10"/>
  <c r="H31" i="7"/>
  <c r="H32" i="7" s="1"/>
  <c r="H10" i="10"/>
  <c r="C7" i="11"/>
  <c r="C9" i="11" s="1"/>
  <c r="C13" i="11" s="1"/>
  <c r="C17" i="11" l="1"/>
  <c r="H36" i="7"/>
  <c r="K54" i="1" s="1"/>
  <c r="I117" i="1"/>
  <c r="H37" i="7" l="1"/>
  <c r="C103" i="5" s="1"/>
  <c r="H38" i="7"/>
  <c r="C107" i="5" l="1"/>
  <c r="K55" i="1"/>
  <c r="H15" i="10"/>
  <c r="H39" i="7"/>
  <c r="C104" i="5" s="1"/>
  <c r="H11" i="9"/>
  <c r="H116" i="5" s="1"/>
  <c r="H9" i="10"/>
  <c r="L21" i="2" s="1"/>
  <c r="H14" i="9" l="1"/>
  <c r="L25" i="2" s="1"/>
  <c r="I118" i="1"/>
  <c r="H29" i="10" l="1"/>
  <c r="H34" i="9"/>
  <c r="H35" i="9" s="1"/>
  <c r="H21" i="9"/>
  <c r="K57" i="1" s="1"/>
  <c r="L27" i="2" l="1"/>
  <c r="C106" i="5"/>
  <c r="I129" i="1"/>
  <c r="H24" i="9"/>
  <c r="L31" i="2" s="1"/>
  <c r="H32" i="10"/>
  <c r="H25" i="9"/>
  <c r="L32" i="2" s="1"/>
  <c r="H30" i="10"/>
  <c r="H31" i="10"/>
  <c r="I119" i="1" l="1"/>
  <c r="H44" i="7"/>
  <c r="H27" i="9"/>
  <c r="I36" i="8"/>
  <c r="H45" i="7" l="1"/>
  <c r="H43" i="7"/>
  <c r="K56" i="1" s="1"/>
  <c r="H42" i="7"/>
  <c r="I38" i="8"/>
  <c r="I47" i="8" s="1"/>
  <c r="H24" i="10" l="1"/>
  <c r="H23" i="10"/>
  <c r="I39" i="8"/>
  <c r="H20" i="10"/>
  <c r="H19" i="10"/>
  <c r="I14" i="7" l="1"/>
  <c r="L48" i="1" s="1"/>
  <c r="I54" i="7" l="1"/>
  <c r="I55" i="7"/>
  <c r="I52" i="7"/>
  <c r="I56" i="7"/>
  <c r="I53" i="7"/>
  <c r="M15" i="2"/>
  <c r="K95" i="1"/>
  <c r="J15" i="7"/>
  <c r="E100" i="5" s="1"/>
  <c r="J13" i="10"/>
  <c r="I15" i="7"/>
  <c r="D100" i="5" s="1"/>
  <c r="I38" i="6"/>
  <c r="J14" i="8" s="1"/>
  <c r="I19" i="9"/>
  <c r="D105" i="5" s="1"/>
  <c r="I13" i="10"/>
  <c r="J22" i="8"/>
  <c r="I18" i="7"/>
  <c r="J7" i="8"/>
  <c r="J93" i="1"/>
  <c r="J95" i="1"/>
  <c r="I12" i="9"/>
  <c r="I76" i="7" l="1"/>
  <c r="I77" i="7" s="1"/>
  <c r="L49" i="1"/>
  <c r="J54" i="7"/>
  <c r="J70" i="7" s="1"/>
  <c r="J53" i="7"/>
  <c r="J69" i="7" s="1"/>
  <c r="J56" i="7"/>
  <c r="J72" i="7" s="1"/>
  <c r="J52" i="7"/>
  <c r="I57" i="7"/>
  <c r="I58" i="7" s="1"/>
  <c r="J55" i="7"/>
  <c r="J71" i="7" s="1"/>
  <c r="K14" i="8"/>
  <c r="I68" i="7"/>
  <c r="I33" i="10"/>
  <c r="M26" i="2"/>
  <c r="J10" i="9"/>
  <c r="J30" i="7"/>
  <c r="J31" i="7" s="1"/>
  <c r="J32" i="7" s="1"/>
  <c r="I30" i="7"/>
  <c r="I10" i="9"/>
  <c r="D11" i="11"/>
  <c r="I36" i="9"/>
  <c r="I72" i="7"/>
  <c r="I70" i="7"/>
  <c r="I71" i="7"/>
  <c r="I63" i="7"/>
  <c r="J35" i="8"/>
  <c r="K35" i="8" s="1"/>
  <c r="I20" i="7"/>
  <c r="I69" i="7"/>
  <c r="I80" i="7" l="1"/>
  <c r="I81" i="7" s="1"/>
  <c r="J117" i="5"/>
  <c r="J57" i="7"/>
  <c r="J65" i="7" s="1"/>
  <c r="J61" i="7"/>
  <c r="J68" i="7"/>
  <c r="I117" i="5"/>
  <c r="E10" i="11"/>
  <c r="B70" i="11"/>
  <c r="D70" i="11"/>
  <c r="J10" i="10"/>
  <c r="C70" i="11"/>
  <c r="I62" i="7"/>
  <c r="D10" i="11"/>
  <c r="I64" i="7"/>
  <c r="I61" i="7"/>
  <c r="J8" i="8"/>
  <c r="J9" i="8"/>
  <c r="I21" i="7"/>
  <c r="L50" i="1" s="1"/>
  <c r="J21" i="8"/>
  <c r="J26" i="8" s="1"/>
  <c r="J32" i="8" s="1"/>
  <c r="I65" i="7"/>
  <c r="J64" i="7" l="1"/>
  <c r="J62" i="7"/>
  <c r="J58" i="7"/>
  <c r="J63" i="7"/>
  <c r="J13" i="9"/>
  <c r="E12" i="11" s="1"/>
  <c r="E13" i="11" s="1"/>
  <c r="E17" i="11" s="1"/>
  <c r="I28" i="7"/>
  <c r="I7" i="10"/>
  <c r="M19" i="2" s="1"/>
  <c r="I22" i="7"/>
  <c r="D101" i="5" s="1"/>
  <c r="J14" i="10" l="1"/>
  <c r="L53" i="1"/>
  <c r="J14" i="9"/>
  <c r="N25" i="2" s="1"/>
  <c r="F13" i="11"/>
  <c r="F17" i="11" s="1"/>
  <c r="B21" i="11" s="1"/>
  <c r="J116" i="1"/>
  <c r="Q64" i="1"/>
  <c r="I31" i="7"/>
  <c r="I32" i="7" s="1"/>
  <c r="D7" i="11"/>
  <c r="D9" i="11" s="1"/>
  <c r="D13" i="11" s="1"/>
  <c r="I35" i="7"/>
  <c r="I29" i="7"/>
  <c r="D102" i="5" s="1"/>
  <c r="I10" i="10"/>
  <c r="I8" i="10"/>
  <c r="M20" i="2" s="1"/>
  <c r="I14" i="10"/>
  <c r="J29" i="10" l="1"/>
  <c r="J21" i="9"/>
  <c r="M57" i="1" s="1"/>
  <c r="J34" i="9"/>
  <c r="J35" i="9" s="1"/>
  <c r="D57" i="11"/>
  <c r="E54" i="11"/>
  <c r="E58" i="11"/>
  <c r="E56" i="11"/>
  <c r="D55" i="11"/>
  <c r="E57" i="11"/>
  <c r="E55" i="11"/>
  <c r="E53" i="11"/>
  <c r="D56" i="11"/>
  <c r="D54" i="11"/>
  <c r="D58" i="11"/>
  <c r="D53" i="11"/>
  <c r="F34" i="11"/>
  <c r="F38" i="11"/>
  <c r="C37" i="11"/>
  <c r="B36" i="11"/>
  <c r="B35" i="11"/>
  <c r="D38" i="11"/>
  <c r="D34" i="11"/>
  <c r="C35" i="11"/>
  <c r="E38" i="11"/>
  <c r="C38" i="11"/>
  <c r="F36" i="11"/>
  <c r="E34" i="11"/>
  <c r="C34" i="11"/>
  <c r="F37" i="11"/>
  <c r="E37" i="11"/>
  <c r="E36" i="11"/>
  <c r="D36" i="11"/>
  <c r="C36" i="11"/>
  <c r="B38" i="11"/>
  <c r="D37" i="11"/>
  <c r="D35" i="11"/>
  <c r="B37" i="11"/>
  <c r="F35" i="11"/>
  <c r="E35" i="11"/>
  <c r="D17" i="11"/>
  <c r="E70" i="11"/>
  <c r="J117" i="1"/>
  <c r="I36" i="7"/>
  <c r="I38" i="7" l="1"/>
  <c r="L55" i="1" s="1"/>
  <c r="L54" i="1"/>
  <c r="J31" i="10"/>
  <c r="K119" i="1" s="1"/>
  <c r="E106" i="5"/>
  <c r="J15" i="10"/>
  <c r="D107" i="5"/>
  <c r="N27" i="2"/>
  <c r="J24" i="9"/>
  <c r="N31" i="2" s="1"/>
  <c r="J25" i="9"/>
  <c r="N32" i="2" s="1"/>
  <c r="J32" i="10"/>
  <c r="K129" i="1"/>
  <c r="J30" i="10"/>
  <c r="F57" i="11"/>
  <c r="F56" i="11"/>
  <c r="B26" i="11"/>
  <c r="B28" i="11" s="1"/>
  <c r="I11" i="9"/>
  <c r="I116" i="5" s="1"/>
  <c r="I9" i="10"/>
  <c r="M21" i="2" s="1"/>
  <c r="I39" i="7"/>
  <c r="D104" i="5" s="1"/>
  <c r="F54" i="11"/>
  <c r="F58" i="11"/>
  <c r="F53" i="11"/>
  <c r="I37" i="7"/>
  <c r="D103" i="5" s="1"/>
  <c r="F55" i="11"/>
  <c r="I15" i="10" l="1"/>
  <c r="J27" i="9"/>
  <c r="J29" i="9" s="1"/>
  <c r="J118" i="1"/>
  <c r="E69" i="11"/>
  <c r="I14" i="9"/>
  <c r="M25" i="2" s="1"/>
  <c r="I34" i="9" l="1"/>
  <c r="I35" i="9" s="1"/>
  <c r="I29" i="10"/>
  <c r="I21" i="9"/>
  <c r="L57" i="1" s="1"/>
  <c r="M27" i="2" l="1"/>
  <c r="D106" i="5"/>
  <c r="I25" i="9"/>
  <c r="M32" i="2" s="1"/>
  <c r="J129" i="1"/>
  <c r="I31" i="10"/>
  <c r="I30" i="10"/>
  <c r="I32" i="10"/>
  <c r="I24" i="9"/>
  <c r="M31" i="2" s="1"/>
  <c r="I27" i="9" l="1"/>
  <c r="J36" i="8"/>
  <c r="J119" i="1"/>
  <c r="I44" i="7"/>
  <c r="I43" i="7" l="1"/>
  <c r="L56" i="1" s="1"/>
  <c r="I42" i="7"/>
  <c r="J44" i="7"/>
  <c r="J38" i="8"/>
  <c r="J47" i="8" s="1"/>
  <c r="K36" i="8"/>
  <c r="K38" i="8" s="1"/>
  <c r="I45" i="7"/>
  <c r="G17" i="9"/>
  <c r="J39" i="8" l="1"/>
  <c r="I23" i="10"/>
  <c r="J43" i="7"/>
  <c r="M56" i="1" s="1"/>
  <c r="J42" i="7"/>
  <c r="I24" i="10"/>
  <c r="J45" i="7"/>
  <c r="J24" i="10"/>
  <c r="J23" i="10"/>
  <c r="J20" i="10"/>
  <c r="J19" i="10"/>
  <c r="K39" i="8"/>
  <c r="K47" i="8"/>
  <c r="I19" i="10"/>
  <c r="I20" i="10"/>
  <c r="G29" i="9"/>
  <c r="G30" i="9" s="1"/>
  <c r="H7" i="9" l="1"/>
  <c r="H115" i="5" s="1"/>
  <c r="H5" i="8"/>
  <c r="H11" i="8" l="1"/>
  <c r="H46" i="8" l="1"/>
  <c r="H44" i="8"/>
  <c r="H45" i="8"/>
  <c r="H15" i="8"/>
  <c r="G25" i="10"/>
  <c r="H43" i="8" l="1"/>
  <c r="G26" i="10" s="1"/>
  <c r="B108" i="5"/>
  <c r="H17" i="8"/>
  <c r="H18" i="8" l="1"/>
  <c r="G114" i="5" s="1"/>
  <c r="G18" i="10" l="1"/>
  <c r="H17" i="9"/>
  <c r="H29" i="9" l="1"/>
  <c r="H30" i="9" s="1"/>
  <c r="I5" i="8" l="1"/>
  <c r="I11" i="8" s="1"/>
  <c r="I7" i="9"/>
  <c r="I115" i="5" s="1"/>
  <c r="I44" i="8" l="1"/>
  <c r="I45" i="8"/>
  <c r="I46" i="8"/>
  <c r="I15" i="8"/>
  <c r="I43" i="8" s="1"/>
  <c r="H25" i="10"/>
  <c r="C108" i="5" l="1"/>
  <c r="I17" i="8"/>
  <c r="H26" i="10"/>
  <c r="I18" i="8" l="1"/>
  <c r="H114" i="5" s="1"/>
  <c r="H18" i="10" l="1"/>
  <c r="I17" i="9"/>
  <c r="I29" i="9" l="1"/>
  <c r="I30" i="9" s="1"/>
  <c r="J5" i="8" l="1"/>
  <c r="J7" i="9"/>
  <c r="J30" i="9" s="1"/>
  <c r="K5" i="8" s="1"/>
  <c r="J115" i="5" l="1"/>
  <c r="E82" i="5" s="1"/>
  <c r="J11" i="8"/>
  <c r="K11" i="8"/>
  <c r="J45" i="8" l="1"/>
  <c r="J15" i="8"/>
  <c r="J46" i="8"/>
  <c r="J44" i="8"/>
  <c r="I25" i="10"/>
  <c r="J25" i="10"/>
  <c r="K45" i="8"/>
  <c r="K46" i="8"/>
  <c r="K44" i="8"/>
  <c r="K15" i="8"/>
  <c r="E108" i="5" s="1"/>
  <c r="J43" i="8" l="1"/>
  <c r="I26" i="10" s="1"/>
  <c r="D108" i="5"/>
  <c r="J17" i="8"/>
  <c r="J18" i="8" s="1"/>
  <c r="K17" i="8"/>
  <c r="K18" i="8" s="1"/>
  <c r="K43" i="8"/>
  <c r="J26" i="10" s="1"/>
  <c r="I18" i="10" l="1"/>
  <c r="I114" i="5"/>
  <c r="J18" i="10"/>
  <c r="J114" i="5"/>
  <c r="B3" i="5" l="1"/>
  <c r="E8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5" authorId="0" shapeId="0" xr:uid="{410C5497-DF83-4D12-BDB5-491D999EB37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Mirrors the scenario toggle on Assumptions!B62. Change either cell — they stay in sync.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ADMIN</author>
  </authors>
  <commentList>
    <comment ref="G8" authorId="0" shapeId="0" xr:uid="{00000000-0006-0000-0500-000002000000}">
      <text>
        <r>
          <rPr>
            <sz val="10"/>
            <rFont val="Arial"/>
            <family val="2"/>
          </rPr>
          <t>Calculated weighted-average Products growth. Derived from segment growth rates 9-12 weighted by prior-year segment revenues.</t>
        </r>
      </text>
    </comment>
    <comment ref="G13" authorId="0" shapeId="0" xr:uid="{00000000-0006-0000-0500-000003000000}">
      <text>
        <r>
          <rPr>
            <sz val="10"/>
            <rFont val="Arial"/>
            <family val="2"/>
          </rPr>
          <t>Services revenue growth. Bear 6% / Base 10.5% / Bull 14%.</t>
        </r>
      </text>
    </comment>
    <comment ref="G16" authorId="0" shapeId="0" xr:uid="{00000000-0006-0000-0500-000004000000}">
      <text>
        <r>
          <rPr>
            <sz val="10"/>
            <rFont val="Arial"/>
            <family val="2"/>
          </rPr>
          <t>Products GM: FY21 35.3% → FY25 36.8%. Forecast continued expansion from premium mix and pricing.</t>
        </r>
      </text>
    </comment>
    <comment ref="G25" authorId="0" shapeId="0" xr:uid="{00000000-0006-0000-0500-000005000000}">
      <text>
        <r>
          <rPr>
            <sz val="10"/>
            <rFont val="Arial"/>
            <family val="2"/>
          </rPr>
          <t>Normalized 15% effective rate. FY24 actual was 24.1% due to $10.2B EU State Aid (Ireland tax) one-time charge — this is non-recurring.</t>
        </r>
      </text>
    </comment>
    <comment ref="G32" authorId="1" shapeId="0" xr:uid="{E7B6840F-DFD4-46C3-B3CE-5FF51D0411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Share-based comp as % of revenue. FY21-25 trended 2.2% → 3.1%. Hold near recent levels.</t>
        </r>
      </text>
    </comment>
    <comment ref="G33" authorId="1" shapeId="0" xr:uid="{2CB8A48D-670C-4C4D-8A9B-55CFA0F311B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current liab as % of revenue. Bundles accrued comp, taxes, other accruals.</t>
        </r>
      </text>
    </comment>
    <comment ref="G34" authorId="1" shapeId="0" xr:uid="{15B5E5E5-92FA-4DA5-9B4B-414BE73A0B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Deferred revenue as % of Services revenue. Subscription billings tied to services.</t>
        </r>
      </text>
    </comment>
    <comment ref="G35" authorId="1" shapeId="0" xr:uid="{0053ACE5-08FD-4C99-B736-D0A9625BB0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Vendor non-trade receivables as % of total COGS. Apple's supplier prepayments — moves with production.</t>
        </r>
      </text>
    </comment>
    <comment ref="G38" authorId="1" shapeId="0" xr:uid="{DCB17055-5BD2-42AE-B367-12250396B19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D&amp;A = scenario % × revenue. Bear 3.2% / Base 2.8% / Bull 2.5%.</t>
        </r>
      </text>
    </comment>
    <comment ref="B58" authorId="0" shapeId="0" xr:uid="{00000000-0006-0000-0500-000001000000}">
      <text>
        <r>
          <rPr>
            <sz val="10"/>
            <rFont val="Arial"/>
            <family val="2"/>
          </rPr>
          <t>From Apple FY2025 10-K. In thousands: 15,004,697 → millions: 15,004.7</t>
        </r>
      </text>
    </comment>
    <comment ref="B65" authorId="1" shapeId="0" xr:uid="{EFB2BDD3-F1C9-4F5D-8529-411E0CC788C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Calculated weighted-average Products growth for Bear case. Derived from segment growth rows 66-69 weighted by FY25 segment revenues.</t>
        </r>
      </text>
    </comment>
    <comment ref="B66" authorId="1" shapeId="0" xr:uid="{D3F38B5D-A976-438D-AEBC-47D7C2FE722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Bear case: iPhone flat. Reflects saturated developed-market demand.</t>
        </r>
      </text>
    </comment>
    <comment ref="C66" authorId="1" shapeId="0" xr:uid="{CEDBE153-AC29-4560-B1D3-A02D2858F69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Base case: iPhone 3% growth. AI-refresh upgrade cycle.</t>
        </r>
      </text>
    </comment>
    <comment ref="D66" authorId="1" shapeId="0" xr:uid="{29FD4644-DBA1-4604-96C8-7C9695BE15E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Bull case: iPhone 6%. Successful AI features drive accelerated upgrade cycle + India/EM share gains.</t>
        </r>
      </text>
    </comment>
    <comment ref="B81" authorId="1" shapeId="0" xr:uid="{DC7B9FE5-BC8A-470C-A8E1-9FA9DCEF70E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Bear case: 85% of FCF returned. Conserve cash.</t>
        </r>
      </text>
    </comment>
    <comment ref="C81" authorId="1" shapeId="0" xr:uid="{4F2DE7CE-1855-4FD4-AB15-AFD1C185E13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Base case: 95% of FCF returned via buybacks + dividends.</t>
        </r>
      </text>
    </comment>
    <comment ref="D81" authorId="1" shapeId="0" xr:uid="{889AC46C-5B7A-46FE-9C3A-6EE55DBC8FA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Bull case: 105% of FCF returned (drawing down cash reserves modestly).</t>
        </r>
      </text>
    </comment>
    <comment ref="B82" authorId="1" shapeId="0" xr:uid="{682C7BEE-430D-477D-AB6E-5F94B3DDBFC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Bear: Higher dividend share (more stable, less buyback activity).</t>
        </r>
      </text>
    </comment>
    <comment ref="C82" authorId="1" shapeId="0" xr:uid="{081BFDE4-AE83-48D8-9BEC-014B1D3D500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Base: ~15% dividends / 85% buybacks (per recent history).</t>
        </r>
      </text>
    </comment>
    <comment ref="D82" authorId="1" shapeId="0" xr:uid="{735398A2-8777-4787-93F2-6BA06FADC43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Bull: Higher buyback intensity at strong share price.</t>
        </r>
      </text>
    </comment>
    <comment ref="B83" authorId="1" shapeId="0" xr:uid="{391CB5BC-0F5C-4108-82E3-EEAE399F8B4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Bear case: net interest expense or unfavorable FX.</t>
        </r>
      </text>
    </comment>
    <comment ref="C83" authorId="1" shapeId="0" xr:uid="{A0C27633-DFDA-4E32-B376-0C24ACA07526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Base case: neutral. Apple's recent run -$565M to +$269M.</t>
        </r>
      </text>
    </comment>
    <comment ref="D83" authorId="1" shapeId="0" xr:uid="{DF5EA4D4-4A3A-4494-9C73-3C01D8F0126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Bull case: net interest income on cash + favorable FX.</t>
        </r>
      </text>
    </comment>
    <comment ref="B84" authorId="1" shapeId="0" xr:uid="{4EC80BFE-C5CD-4C83-B0B3-75384504267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Bear case: higher D&amp;A as % of revenue (lower revenue base).</t>
        </r>
      </text>
    </comment>
    <comment ref="C84" authorId="1" shapeId="0" xr:uid="{4AB114F6-025A-4B5E-8D6A-19BDD6085DA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Base case: ~2.8% of revenue. Apple's historical ratio.</t>
        </r>
      </text>
    </comment>
    <comment ref="D84" authorId="1" shapeId="0" xr:uid="{57F9D01F-333B-4FAA-BC1F-C80D9463D02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Bull case: lower as % of revenue (revenue growing faster than asset base).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ADMIN</author>
  </authors>
  <commentList>
    <comment ref="B8" authorId="0" shapeId="0" xr:uid="{00000000-0006-0000-0600-000001000000}">
      <text>
        <r>
          <rPr>
            <sz val="10"/>
            <rFont val="Arial"/>
            <family val="2"/>
          </rPr>
          <t>Source: Apple 10-K FY2022 p.29; FY2025 10-K p.29</t>
        </r>
      </text>
    </comment>
    <comment ref="B9" authorId="1" shapeId="0" xr:uid="{A777088F-FABD-4EB0-A34D-690B7D9AD7C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 p.30 (segment data)</t>
        </r>
      </text>
    </comment>
    <comment ref="F9" authorId="1" shapeId="0" xr:uid="{20402D0F-9060-4E1A-9008-E1CDF437CF8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 p.23</t>
        </r>
      </text>
    </comment>
    <comment ref="B42" authorId="1" shapeId="0" xr:uid="{5C832C0E-FE7F-4D06-BA35-B524F1F1E0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FY2022, p.29 Consolidated Statements of Operations. Basic EPS as reported.</t>
        </r>
      </text>
    </comment>
    <comment ref="C42" authorId="1" shapeId="0" xr:uid="{CB1445B1-B3A2-4C85-A1F4-69AA47B13A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FY2022, p.29 Consolidated Statements of Operations.</t>
        </r>
      </text>
    </comment>
    <comment ref="D42" authorId="1" shapeId="0" xr:uid="{2EA98903-FA3F-44B3-B94A-9B6756B1B76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FY2023, p.29.</t>
        </r>
      </text>
    </comment>
    <comment ref="E42" authorId="1" shapeId="0" xr:uid="{5F652203-A4A8-4A97-A59F-28F847AC7E9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FY2024 Consolidated Statements of Operations.</t>
        </r>
      </text>
    </comment>
    <comment ref="F42" authorId="1" shapeId="0" xr:uid="{4D121F43-6A5D-4B17-A608-5798BCE820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FY2025, p.29.</t>
        </r>
      </text>
    </comment>
    <comment ref="G42" authorId="1" shapeId="0" xr:uid="{8FDF3538-D434-484A-AF85-C5CB4C80994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Forecast Basic EPS uses diluted share count as a proxy (Apple's basic vs. diluted share gap is &lt; 0.5%).</t>
        </r>
      </text>
    </comment>
    <comment ref="B43" authorId="1" shapeId="0" xr:uid="{D75D1850-48B2-4D3B-8297-1C67674999B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FY2022, p.29. Diluted EPS as reported.</t>
        </r>
      </text>
    </comment>
    <comment ref="C43" authorId="1" shapeId="0" xr:uid="{1325CE8E-10C8-43D6-A9EC-447DD6F116F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FY2022, p.29.</t>
        </r>
      </text>
    </comment>
    <comment ref="D43" authorId="1" shapeId="0" xr:uid="{F4426CD4-80DC-4F4C-B166-44CC626659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FY2023, p.29.</t>
        </r>
      </text>
    </comment>
    <comment ref="E43" authorId="1" shapeId="0" xr:uid="{EDE566D0-4A8B-4195-871B-AFB93138165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FY2024.</t>
        </r>
      </text>
    </comment>
    <comment ref="F43" authorId="1" shapeId="0" xr:uid="{BC831A5D-CBBD-49C3-8C7C-4CA9EBA1EDA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FY2025, p.29.</t>
        </r>
      </text>
    </comment>
    <comment ref="G43" authorId="1" shapeId="0" xr:uid="{E74DF7B7-7264-415D-AF12-2CA675B8674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Diluted EPS = Net Income ÷ Diluted Shares (row 44). Row 44 rolls forward with buyback assumption.</t>
        </r>
      </text>
    </comment>
    <comment ref="B44" authorId="1" shapeId="0" xr:uid="{6D3A0A3A-1DF1-4E4E-9F69-5A7B046670B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FY2022, p.29. Weighted-average diluted shares outstanding (M).</t>
        </r>
      </text>
    </comment>
    <comment ref="C44" authorId="1" shapeId="0" xr:uid="{0A8F4C46-E08E-4551-8B67-F836198A0FE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FY2022, p.29.</t>
        </r>
      </text>
    </comment>
    <comment ref="D44" authorId="1" shapeId="0" xr:uid="{9784B38C-3324-4A8C-8C80-F3ED48A9E14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FY2023, p.29.</t>
        </r>
      </text>
    </comment>
    <comment ref="E44" authorId="1" shapeId="0" xr:uid="{68C6D2A0-279A-4A7D-B8B5-DD0F0912CE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FY2024.</t>
        </r>
      </text>
    </comment>
    <comment ref="F44" authorId="1" shapeId="0" xr:uid="{C2DAD186-D594-4298-A96E-6BD1D49079D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FY2025, p.29. Diluted shares = 15,004.7M (rounded down to 15,004 here; full precision in Assumptions!B58).</t>
        </r>
      </text>
    </comment>
    <comment ref="G44" authorId="1" shapeId="0" xr:uid="{342F3915-0FCE-4C54-9111-9AFFF2C142D0}">
      <text>
        <r>
          <rPr>
            <b/>
            <sz val="9"/>
            <color indexed="81"/>
            <rFont val="Tahoma"/>
            <charset val="1"/>
          </rPr>
          <t>Diluted shares roll-forward: prior period shares + FY26 net buybacks at average share price. Matches FY27/FY28 pattern.</t>
        </r>
      </text>
    </comment>
    <comment ref="B45" authorId="1" shapeId="0" xr:uid="{474214DD-3666-4DBB-AE36-0F47345C413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FY2022. Dividends declared per share.</t>
        </r>
      </text>
    </comment>
    <comment ref="C45" authorId="1" shapeId="0" xr:uid="{2BE463EC-D230-4716-8CD2-B66801A130C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FY2022.</t>
        </r>
      </text>
    </comment>
    <comment ref="D45" authorId="1" shapeId="0" xr:uid="{9118B9A0-33BB-412D-8A3F-F16E74D9203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FY2023.</t>
        </r>
      </text>
    </comment>
    <comment ref="E45" authorId="1" shapeId="0" xr:uid="{70476E2A-EA87-44F4-8B6C-1D9E280908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FY2024.</t>
        </r>
      </text>
    </comment>
    <comment ref="F45" authorId="1" shapeId="0" xr:uid="{6707C444-A5ED-4693-BD71-67AECC88351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Source: Apple 10-K FY2025.</t>
        </r>
      </text>
    </comment>
    <comment ref="B52" authorId="1" shapeId="0" xr:uid="{8B6B562C-CD19-4559-AB57-414CD1C4BF5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 p.21 segment data</t>
        </r>
      </text>
    </comment>
    <comment ref="F52" authorId="1" shapeId="0" xr:uid="{5E6E3AE0-E5EB-4F1C-8DB6-312E821F88C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 p.22 segment data</t>
        </r>
      </text>
    </comment>
    <comment ref="J52" authorId="1" shapeId="0" xr:uid="{3EAE8B1A-5EFF-493E-9FC2-8F414BB1AE0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Americas YoY forecast growth. FY21-25 CAGR ≈ 3.9%. Higher growth on iPhone refresh + Services penetration.</t>
        </r>
      </text>
    </comment>
    <comment ref="L52" authorId="1" shapeId="0" xr:uid="{0EFA7D50-1F32-46F9-8A3A-4B167D2D3B6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ADMIN:
Americas YoY forecast growth. FY21-25 CAGR ≈ 3.9%. Higher growth on iPhone refresh + Services penetration.</t>
        </r>
      </text>
    </comment>
    <comment ref="J53" authorId="1" shapeId="0" xr:uid="{92856D3A-D75A-4DEB-ACB6-7A215E2E4F5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Europe YoY forecast growth. FY21-25 CAGR ≈ 5.6%. India (counted in Europe segment) is fastest-growing region.</t>
        </r>
      </text>
    </comment>
    <comment ref="L53" authorId="1" shapeId="0" xr:uid="{B91DAEE5-9428-4111-8B12-3A3356DF85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ADMIN:
Europe YoY forecast growth. FY21-25 CAGR ≈ 5.6%. India (counted in Europe segment) is fastest-growing region.</t>
        </r>
      </text>
    </comment>
    <comment ref="J54" authorId="1" shapeId="0" xr:uid="{5C5AC142-8994-4267-A41F-11991DBD684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Greater China YoY forecast growth. Revenue fell 4% in FY25A due to lower iPhone sales + local competition (Huawei). Modest continued decline.</t>
        </r>
      </text>
    </comment>
    <comment ref="L54" authorId="1" shapeId="0" xr:uid="{0FE0C1EC-138B-4FB6-B022-D6A295F332E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ADMIN:
Greater China YoY forecast growth. Revenue fell 4% in FY25A due to lower iPhone sales + local competition (Huawei). Modest continued decline.</t>
        </r>
      </text>
    </comment>
    <comment ref="J55" authorId="1" shapeId="0" xr:uid="{57DFB4BE-9183-4069-AACD-3E547C201E46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Japan YoY forecast growth. FY25A jumped 14.6% on iPhone + Services + iPad strength.</t>
        </r>
      </text>
    </comment>
    <comment ref="L55" authorId="1" shapeId="0" xr:uid="{52798BE8-571B-4AB5-B955-9B7F5B78F04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ADMIN:
Japan YoY forecast growth. FY25A jumped 14.6% on iPhone + Services + iPad strength.</t>
        </r>
      </text>
    </comment>
    <comment ref="J56" authorId="1" shapeId="0" xr:uid="{96A12A23-4435-487A-BE4F-3A1D7D43B97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Rest of APAC YoY forecast growth. FY25A grew 10% on broad-based product strength.</t>
        </r>
      </text>
    </comment>
    <comment ref="L56" authorId="1" shapeId="0" xr:uid="{50F6DE58-6CED-40F6-A20B-5BDC4D98311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ADMIN:
Rest of APAC YoY forecast growth. FY25A grew 10% on broad-based product strength.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5" authorId="0" shapeId="0" xr:uid="{D5BE6792-D3BC-4A91-8D7C-13386470C34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p.31.</t>
        </r>
      </text>
    </comment>
    <comment ref="D5" authorId="0" shapeId="0" xr:uid="{AC4C331F-6D1D-4E4C-96F5-7A74186565B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</t>
        </r>
      </text>
    </comment>
    <comment ref="E5" authorId="0" shapeId="0" xr:uid="{15222E8A-DE65-49D6-AC8D-91FEB8A3C39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FY2023.</t>
        </r>
      </text>
    </comment>
    <comment ref="F5" authorId="0" shapeId="0" xr:uid="{DD443EE1-8E2E-49E7-8789-BAAB9F3AC6B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FY2024.</t>
        </r>
      </text>
    </comment>
    <comment ref="G5" authorId="0" shapeId="0" xr:uid="{2CF67E7C-A3E4-4CEC-9F58-C7805901DAC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FY2025.</t>
        </r>
      </text>
    </comment>
    <comment ref="H5" authorId="0" shapeId="0" xr:uid="{C0BB9389-B014-4C52-91B3-A0C3BFDBD262}">
      <text>
        <r>
          <rPr>
            <b/>
            <sz val="9"/>
            <color indexed="81"/>
            <rFont val="Tahoma"/>
            <charset val="1"/>
          </rPr>
          <t>Cash &amp; equivalents — receives from CFS ending cash.</t>
        </r>
      </text>
    </comment>
    <comment ref="H6" authorId="0" shapeId="0" xr:uid="{AFBE37E1-2C5A-4FDE-A0FD-296B2F9D9305}">
      <text>
        <r>
          <rPr>
            <b/>
            <sz val="9"/>
            <color indexed="81"/>
            <rFont val="Tahoma"/>
            <charset val="1"/>
          </rPr>
          <t>Scenario-flexed: pulls Bear/Base/Bull value from Assumptions row 88.</t>
        </r>
      </text>
    </comment>
    <comment ref="C9" authorId="0" shapeId="0" xr:uid="{261D0146-2DF9-42FF-9079-CDB70E902FA2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Vendor non-trade receivables.</t>
        </r>
      </text>
    </comment>
    <comment ref="C10" authorId="0" shapeId="0" xr:uid="{564B6E08-30DA-47F1-8C7B-90F5AF5B674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Other current assets. Corrected from prior negative sign error.</t>
        </r>
      </text>
    </comment>
    <comment ref="H10" authorId="0" shapeId="0" xr:uid="{884D7164-35EF-469F-9B2C-DF45A0C6B336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Forecast input. Bundles prepaid expenses, derivative assets — historically negative due to netting.</t>
        </r>
      </text>
    </comment>
    <comment ref="C14" authorId="0" shapeId="0" xr:uid="{B21D8F3F-0BE1-455C-91B9-C4479AB6973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Property, plant &amp; equipment, net.</t>
        </r>
      </text>
    </comment>
    <comment ref="C15" authorId="0" shapeId="0" xr:uid="{E3522A28-C1CB-46C7-A016-AC905C317BC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Non-current marketable securities.</t>
        </r>
      </text>
    </comment>
    <comment ref="H15" authorId="0" shapeId="0" xr:uid="{2309077C-97AA-4026-A1A9-6B23A252A6FE}">
      <text>
        <r>
          <rPr>
            <b/>
            <sz val="9"/>
            <color indexed="81"/>
            <rFont val="Tahoma"/>
            <charset val="1"/>
          </rPr>
          <t>Long-term marketable securities — BS plug. Calculated as Total L+E − Current Assets − PPE − Other NCA. This absorbs the residual to keep the balance sheet balancing. Aggregate cash + securities ties to CFS ending cash.</t>
        </r>
      </text>
    </comment>
    <comment ref="K15" authorId="0" shapeId="0" xr:uid="{4610B8E4-EBFC-44EF-A0A2-4B6CC9BEB85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Plug: absorbs the difference to make BS balance. Aggregate cash + securities ties to CFS ending cash.</t>
        </r>
      </text>
    </comment>
    <comment ref="C16" authorId="0" shapeId="0" xr:uid="{5785E913-D5D1-4136-A8B4-7A9294041F02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Other non-current assets.</t>
        </r>
      </text>
    </comment>
    <comment ref="H16" authorId="0" shapeId="0" xr:uid="{C6787CAC-CB66-4D1E-8D03-95CF7EF279F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Forecast input. Long-lived intangibles, equity investments, ROU assets.</t>
        </r>
      </text>
    </comment>
    <comment ref="C21" authorId="0" shapeId="0" xr:uid="{295B5CE6-A863-494B-9781-61EB1752A1C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Accounts payable.</t>
        </r>
      </text>
    </comment>
    <comment ref="C22" authorId="0" shapeId="0" xr:uid="{E57F4E0F-1983-43CA-B5D1-7293E1BFB6F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Other current liabilities.</t>
        </r>
      </text>
    </comment>
    <comment ref="C23" authorId="0" shapeId="0" xr:uid="{E9856B5A-6AC0-4073-A4B0-1AE90212411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Deferred revenue.</t>
        </r>
      </text>
    </comment>
    <comment ref="C24" authorId="0" shapeId="0" xr:uid="{45756902-E8CA-4164-A434-7CE26D9BB25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Commercial paper.</t>
        </r>
      </text>
    </comment>
    <comment ref="H24" authorId="0" shapeId="0" xr:uid="{4F478745-A560-49CB-AA17-BFEF9F84BF8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Forecast input. Commercial paper — short-term debt program.</t>
        </r>
      </text>
    </comment>
    <comment ref="C25" authorId="0" shapeId="0" xr:uid="{F3FFA25C-297E-4AA0-B4F7-B72A08C31B7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Term debt, current portion.</t>
        </r>
      </text>
    </comment>
    <comment ref="H25" authorId="0" shapeId="0" xr:uid="{1772F00F-B8CA-4189-9EE0-5E5082B7BDD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Forecast input. Current portion of long-term debt — debt maturity schedule.</t>
        </r>
      </text>
    </comment>
    <comment ref="C29" authorId="0" shapeId="0" xr:uid="{11B740A4-8F3E-456C-9266-793D2470C84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Long-term debt.</t>
        </r>
      </text>
    </comment>
    <comment ref="H29" authorId="0" shapeId="0" xr:uid="{4A03ECBA-F080-453A-B13F-F254B912C86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Forecast input. Long-term debt — bond repayment schedule. Apple has been deleveraging.</t>
        </r>
      </text>
    </comment>
    <comment ref="C30" authorId="0" shapeId="0" xr:uid="{D603F4F1-1BA6-4ABD-BBBB-E535846F7FC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Other non-current liabilities.</t>
        </r>
      </text>
    </comment>
    <comment ref="H30" authorId="0" shapeId="0" xr:uid="{CEA0E9F8-0BCD-4411-9A2F-8786363FBE6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Forecast input. Deferred tax, lease obligations — declining as Apple unwinds.</t>
        </r>
      </text>
    </comment>
    <comment ref="C35" authorId="0" shapeId="0" xr:uid="{9113A8EB-6B87-4A52-AA23-D806696AFF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Common stock &amp; additional paid-in capital.</t>
        </r>
      </text>
    </comment>
    <comment ref="H35" authorId="0" shapeId="0" xr:uid="{41FEA9E5-8BF5-40D9-8653-8D69AC45887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APIC roll-forward: prior APIC + SBC issued during year. Buybacks (when APIC=0) flow through retained earnings per Apple's accounting.</t>
        </r>
      </text>
    </comment>
    <comment ref="C36" authorId="0" shapeId="0" xr:uid="{38DC4A52-37F9-420A-858D-760FC3E78DC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Retained earnings.</t>
        </r>
      </text>
    </comment>
    <comment ref="C37" authorId="0" shapeId="0" xr:uid="{51E60672-5E1A-4CDF-8FC6-90E12BCCEF86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FY2022. Accumulated other comprehensive income/(loss).</t>
        </r>
      </text>
    </comment>
    <comment ref="H37" authorId="0" shapeId="0" xr:uid="{882903E6-8906-4113-98E0-AA7F9B0217F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Forecast input. AOCI — FX/hedging adjustments, held flat to declining.</t>
        </r>
      </text>
    </comment>
    <comment ref="C42" authorId="0" shapeId="0" xr:uid="{198B57BF-F8AC-4C6D-A28B-4B348338FFD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Total Debt = Commercial paper + Current portion of LT debt + Long-term debt.</t>
        </r>
      </text>
    </comment>
    <comment ref="C43" authorId="0" shapeId="0" xr:uid="{E737D483-C74A-4515-B545-6F903A9E3EC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Net Debt = Total Debt - Cash - ST securities - LT securities. Negative = net cash position.</t>
        </r>
      </text>
    </comment>
    <comment ref="C44" authorId="0" shapeId="0" xr:uid="{BD4F529D-D830-43DD-8AD6-0AD5D389DC9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Working Capital = Total Current Assets - Total Current Liabilities.</t>
        </r>
      </text>
    </comment>
    <comment ref="C45" authorId="0" shapeId="0" xr:uid="{B8944363-AA5C-4C4A-80A3-C2E50A4BBA4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Current Ratio = Total Current Assets / Total Current Liabilities. Measures short-term liquidity.</t>
        </r>
      </text>
    </comment>
    <comment ref="C46" authorId="0" shapeId="0" xr:uid="{DDE2BFC7-95E6-4A57-8A4E-80712A5B07E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Quick Ratio = (Current Assets - Inventory) / Current Liabilities. Stricter liquidity test.</t>
        </r>
      </text>
    </comment>
    <comment ref="C47" authorId="0" shapeId="0" xr:uid="{6499982C-BADC-4B1F-A686-5FA9872D562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Debt / Equity = Total Debt / Total Shareholders' Equity. Measures leverage.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7" authorId="0" shapeId="0" xr:uid="{A0FBD569-3B77-41AF-8ACF-5758EE935BB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beginning cash balance Sep 26, 2020.</t>
        </r>
      </text>
    </comment>
    <comment ref="C7" authorId="0" shapeId="0" xr:uid="{8F52A5FA-0E72-4FC3-A649-1DFA7B02CE5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Rolls forward from prior period ending cash.</t>
        </r>
      </text>
    </comment>
    <comment ref="B12" authorId="0" shapeId="0" xr:uid="{4CB0F637-8156-4A2A-87D4-DF594DDDC5C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Consolidated Statements of Cash Flows, p.33. Share-based compensation expense as reported.</t>
        </r>
      </text>
    </comment>
    <comment ref="C12" authorId="0" shapeId="0" xr:uid="{325E6C54-9012-4C06-B1BB-204D764F95C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Consolidated Statements of Cash Flows, p.33.</t>
        </r>
      </text>
    </comment>
    <comment ref="D12" authorId="0" shapeId="0" xr:uid="{D762FF1E-40AF-4B3E-BC94-E04D112D180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FY2023, Consolidated Statements of Cash Flows, p.33.</t>
        </r>
      </text>
    </comment>
    <comment ref="E12" authorId="0" shapeId="0" xr:uid="{52CD9048-A746-4F48-810D-62A84F14B4A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FY2024 (filed Nov 2024), Consolidated Statements of Cash Flows.</t>
        </r>
      </text>
    </comment>
    <comment ref="F12" authorId="0" shapeId="0" xr:uid="{87B16196-8B45-4261-92E6-BE08EF485E12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FY2025, Consolidated Statements of Cash Flows, p.33.</t>
        </r>
      </text>
    </comment>
    <comment ref="B13" authorId="0" shapeId="0" xr:uid="{9F6DBE6D-FFBC-4A8C-A58E-F6F340CD13B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Consolidated Statements of Cash Flows, p.33. Aggregated 'Other' + changes in operating assets/liabilities as reported. Differs from pure BS-delta calc due to acquisitions, FX, deferred taxes, and other non-cash items.</t>
        </r>
      </text>
    </comment>
    <comment ref="C13" authorId="0" shapeId="0" xr:uid="{89CCE742-510E-4DBB-9E3A-985DB4BD742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Consolidated Statements of Cash Flows, p.33.</t>
        </r>
      </text>
    </comment>
    <comment ref="D13" authorId="0" shapeId="0" xr:uid="{2E52DDED-6B1C-42A5-81C7-0F58AEB8F07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FY2023, Consolidated Statements of Cash Flows, p.33.</t>
        </r>
      </text>
    </comment>
    <comment ref="E13" authorId="0" shapeId="0" xr:uid="{1801624B-46EF-482B-B453-641011E9E45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FY2024, Consolidated Statements of Cash Flows.</t>
        </r>
      </text>
    </comment>
    <comment ref="F13" authorId="0" shapeId="0" xr:uid="{23497D20-428D-4CDF-8FAA-05B770CA8F8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FY2025, Consolidated Statements of Cash Flows, p.33.</t>
        </r>
      </text>
    </comment>
    <comment ref="G13" authorId="0" shapeId="0" xr:uid="{10C443E6-45C5-40D5-94DE-F1261B7EDCF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Total change in working capital and other. Sources of cash: ↑liabilities, ↓assets. Includes AR, Inventory, Vendor receivables, Other CA, AP, Other CL, Def Rev, Other NCA, Other NCL.</t>
        </r>
      </text>
    </comment>
    <comment ref="B19" authorId="0" shapeId="0" xr:uid="{54194F4B-F0F5-43A8-AEAC-E17297A973D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CFS, Payments for acquisition of property, plant and equipment.</t>
        </r>
      </text>
    </comment>
    <comment ref="C19" authorId="0" shapeId="0" xr:uid="{F6825544-6D78-4872-9366-D3F04E13A34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CFS, p.33.</t>
        </r>
      </text>
    </comment>
    <comment ref="D19" authorId="0" shapeId="0" xr:uid="{97329210-5DFB-4CA0-9304-079862E98B9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FY2023, CFS, p.33.</t>
        </r>
      </text>
    </comment>
    <comment ref="E19" authorId="0" shapeId="0" xr:uid="{51BA77A0-CE5E-4C64-9C4F-AE766739F88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FY2024, CFS.</t>
        </r>
      </text>
    </comment>
    <comment ref="F19" authorId="0" shapeId="0" xr:uid="{6F12A34E-8B6F-41F6-AD8D-A0582753AFD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FY2025, CFS, p.33.</t>
        </r>
      </text>
    </comment>
    <comment ref="B20" authorId="0" shapeId="0" xr:uid="{D1149992-B27E-40FD-982A-BC48F5B1C6C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 CFS p.33. Net of marketable securities purchases/maturities/sales + other investing (business acquisitions, intangibles).</t>
        </r>
      </text>
    </comment>
    <comment ref="C20" authorId="0" shapeId="0" xr:uid="{7F9C206E-539C-4ED5-A6EE-0EC6BA8DF47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CFS.</t>
        </r>
      </text>
    </comment>
    <comment ref="D20" authorId="0" shapeId="0" xr:uid="{6CE4C9E5-B6FC-4654-A7A6-279401AF57D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FY2023, CFS.</t>
        </r>
      </text>
    </comment>
    <comment ref="E20" authorId="0" shapeId="0" xr:uid="{1A676B24-3978-425F-8C36-5090FE79CA1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FY2024, CFS.</t>
        </r>
      </text>
    </comment>
    <comment ref="F20" authorId="0" shapeId="0" xr:uid="{7DA92296-51AD-4F1D-A57B-83D99F1D081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FY2025, CFS p.33.</t>
        </r>
      </text>
    </comment>
    <comment ref="G20" authorId="0" shapeId="0" xr:uid="{7B80CBBF-ADED-4FA6-88B4-8FFDF011177D}">
      <text>
        <r>
          <rPr>
            <b/>
            <sz val="9"/>
            <color indexed="81"/>
            <rFont val="Tahoma"/>
            <charset val="1"/>
          </rPr>
          <t>Held at 0 in forecast — BS LT securities (row 15) is the plug. Aggregate cash + securities ties to CFS ending cash.</t>
        </r>
      </text>
    </comment>
    <comment ref="J20" authorId="0" shapeId="0" xr:uid="{220161AB-B082-43A3-B667-9E6D3825DDE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Held at 0 in forecast by design. BS LT securities (row 15) is the plug. Aggregate cash+securities ties to CFS ending cash.</t>
        </r>
      </text>
    </comment>
    <comment ref="B24" authorId="0" shapeId="0" xr:uid="{D78408BD-E8B4-41F6-886D-B685BA4F2B1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CFS, Payments for dividends and dividend equivalents.</t>
        </r>
      </text>
    </comment>
    <comment ref="C24" authorId="0" shapeId="0" xr:uid="{BA0B8452-04F1-4E6E-BBC9-B4CAA22E663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CFS.</t>
        </r>
      </text>
    </comment>
    <comment ref="D24" authorId="0" shapeId="0" xr:uid="{DD2A47BB-D1EB-4C51-8E2D-5BE31591481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FY2023, CFS.</t>
        </r>
      </text>
    </comment>
    <comment ref="E24" authorId="0" shapeId="0" xr:uid="{EE843E4A-9E7B-4825-A222-00396AE4F1C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FY2024, CFS.</t>
        </r>
      </text>
    </comment>
    <comment ref="F24" authorId="0" shapeId="0" xr:uid="{F5D22F7B-D222-4256-B400-914A918FA48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FY2025, CFS p.33.</t>
        </r>
      </text>
    </comment>
    <comment ref="B25" authorId="0" shapeId="0" xr:uid="{0645D50C-0C04-4FBE-8169-F5961045648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CFS, Repurchases of common stock.</t>
        </r>
      </text>
    </comment>
    <comment ref="C25" authorId="0" shapeId="0" xr:uid="{57A6EAF2-A183-4D0D-A98A-9C9D1B1A1F6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CFS.</t>
        </r>
      </text>
    </comment>
    <comment ref="D25" authorId="0" shapeId="0" xr:uid="{8D6A7EEF-4A55-4AEC-A9CD-3DF75FAFF88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FY2023, CFS.</t>
        </r>
      </text>
    </comment>
    <comment ref="E25" authorId="0" shapeId="0" xr:uid="{65289842-D596-4B7F-863A-9087E4EEFCE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FY2024, CFS.</t>
        </r>
      </text>
    </comment>
    <comment ref="F25" authorId="0" shapeId="0" xr:uid="{58E8220A-5A26-4AF2-9892-9C5F24F4978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FY2025, CFS p.33.</t>
        </r>
      </text>
    </comment>
    <comment ref="B26" authorId="0" shapeId="0" xr:uid="{86C527E7-0E7E-4033-BD42-1672F5C6824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CFS. Net of debt issuance/repayments + commercial paper + other financing (tax withholdings on share settlements).</t>
        </r>
      </text>
    </comment>
    <comment ref="C26" authorId="0" shapeId="0" xr:uid="{73FD8403-5EBE-4AC2-B9BC-49FDF5A5557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FY2022, CFS.</t>
        </r>
      </text>
    </comment>
    <comment ref="D26" authorId="0" shapeId="0" xr:uid="{50725ECD-07EA-4139-A2B1-6AD447B129F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FY2023, CFS.</t>
        </r>
      </text>
    </comment>
    <comment ref="E26" authorId="0" shapeId="0" xr:uid="{81C4D0EE-F2D2-482E-85DA-D660C75A020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FY2024, CFS.</t>
        </r>
      </text>
    </comment>
    <comment ref="F26" authorId="0" shapeId="0" xr:uid="{328DCE2F-B68F-43ED-8AD6-A29169E0F8A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Source: Apple 10-K FY2025, CFS p.33.</t>
        </r>
      </text>
    </comment>
    <comment ref="G26" authorId="0" shapeId="0" xr:uid="{1EF6A1B9-5E67-4BC9-BEA3-5266070DC7B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Net debt repayment &amp; other financing = Δ Commercial paper + Δ Current LT debt + Δ LT debt. Negative = paydown.</t>
        </r>
      </text>
    </comment>
    <comment ref="B34" authorId="0" shapeId="0" xr:uid="{9F5763A4-70C4-4C3F-A681-BB1186CB8E0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Free Cash Flow = Cash from Operations + CapEx (CapEx is already negative). Standard definition: CFO − CapEx.</t>
        </r>
      </text>
    </comment>
    <comment ref="B35" authorId="0" shapeId="0" xr:uid="{D6EC9204-C1EC-4B67-8ADA-BE1DC0736FE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Free Cash Flow as a percentage of total revenue. Standard profitability metric.</t>
        </r>
      </text>
    </comment>
    <comment ref="B36" authorId="0" shapeId="0" xr:uid="{37E25B8F-D9BA-4A29-997D-E0FD9740B92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CapEx as a percentage of revenue. Apple historically runs 2-3% — capital-light hardware-and-services model.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3" authorId="0" shapeId="0" xr:uid="{48A57DE3-8F62-4919-B609-326CB75303F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Cash + ST securities + LT securities − Total debt. Positive value because Apple's liquid securities exceed debt.</t>
        </r>
      </text>
    </comment>
    <comment ref="B69" authorId="0" shapeId="0" xr:uid="{7718D74B-C0CA-4547-B5D2-7F6963C99FA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FY29E Net Income × 22x P/E / diluted shares. Low end of P/E range.</t>
        </r>
      </text>
    </comment>
    <comment ref="D69" authorId="0" shapeId="0" xr:uid="{1F726E84-22CA-4C4B-9943-F9C81B7BF27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FY29E Net Income × 30x P/E.</t>
        </r>
      </text>
    </comment>
    <comment ref="B70" authorId="0" shapeId="0" xr:uid="{BB943225-9863-4678-BAF6-21376808FACE}">
      <text>
        <r>
          <rPr>
            <b/>
            <sz val="9"/>
            <color indexed="81"/>
            <rFont val="Tahoma"/>
            <family val="2"/>
          </rPr>
          <t>FY29E EBITDA × 16x + net cash per share.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<sst xmlns="http://schemas.openxmlformats.org/spreadsheetml/2006/main" count="1157" uniqueCount="747">
  <si>
    <t>SCENARIO</t>
  </si>
  <si>
    <t>FOCUS YEAR</t>
  </si>
  <si>
    <t>SEGMENT VIEW</t>
  </si>
  <si>
    <t>Base</t>
  </si>
  <si>
    <t>FY26E</t>
  </si>
  <si>
    <t>NET INCOME</t>
  </si>
  <si>
    <t>WACC ↓ / g →</t>
  </si>
  <si>
    <t>Driver</t>
  </si>
  <si>
    <t>Low</t>
  </si>
  <si>
    <t>High</t>
  </si>
  <si>
    <t>⚠️</t>
  </si>
  <si>
    <t>FY21A</t>
  </si>
  <si>
    <t>FY22A</t>
  </si>
  <si>
    <t>FY23A</t>
  </si>
  <si>
    <t>FY24A</t>
  </si>
  <si>
    <t>FY25A</t>
  </si>
  <si>
    <t>FY27E</t>
  </si>
  <si>
    <t>FY28E</t>
  </si>
  <si>
    <t>Gross margin %</t>
  </si>
  <si>
    <t>Operating margin %</t>
  </si>
  <si>
    <t>Net margin %</t>
  </si>
  <si>
    <t>FCF margin %</t>
  </si>
  <si>
    <t>Free cash flow ($M)</t>
  </si>
  <si>
    <t>EV/EBITDA (16-22x)</t>
  </si>
  <si>
    <t>52-week range</t>
  </si>
  <si>
    <t>PIVOT ANALYSIS  |  APPLE INC. (NASDAQ: AAPL)</t>
  </si>
  <si>
    <t>PERIOD TYPE FILTER</t>
  </si>
  <si>
    <t>ACTIVE PERIODS</t>
  </si>
  <si>
    <t>All</t>
  </si>
  <si>
    <t>Click B7 to toggle (All / Actual / Estimate). All four pivot tables and charts update instantly.</t>
  </si>
  <si>
    <t>1. REVENUE MIX  |  Products vs Services Revenue ($M)</t>
  </si>
  <si>
    <t>Line Item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</si>
  <si>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</si>
  <si>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</si>
  <si>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</si>
  <si>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</si>
  <si>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</si>
  <si>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</si>
  <si>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</si>
  <si>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</si>
  <si>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Products revenue</t>
  </si>
  <si>
    <t>Services revenue</t>
  </si>
  <si>
    <t>Total revenue</t>
  </si>
  <si>
    <t>2. MARGINS  |  Profitability Trajectory (% of Revenue)</t>
  </si>
  <si>
    <t>3. FREE CASH FLOW  |  Operating Cash + CapEx → FCF ($M)</t>
  </si>
  <si>
    <t>Cash from operations</t>
  </si>
  <si>
    <t>Capital expenditures</t>
  </si>
  <si>
    <t>Free cash flow</t>
  </si>
  <si>
    <t>4. CAPITAL RETURN  |  Dividends + Share Repurchases ($M)</t>
  </si>
  <si>
    <t>Dividends paid</t>
  </si>
  <si>
    <t>Share repurchases</t>
  </si>
  <si>
    <t>Category</t>
  </si>
  <si>
    <t>Notes</t>
  </si>
  <si>
    <t>IS</t>
  </si>
  <si>
    <t>Sep 25, 2021</t>
  </si>
  <si>
    <t>Sep 24, 2022</t>
  </si>
  <si>
    <t>Sep 30, 2023</t>
  </si>
  <si>
    <t>Sep 28, 2024</t>
  </si>
  <si>
    <t>Sep 27, 2025</t>
  </si>
  <si>
    <t>Sep 26, 2026</t>
  </si>
  <si>
    <t>Sep 25, 2027</t>
  </si>
  <si>
    <t>Sep 30, 2028</t>
  </si>
  <si>
    <t>Cost of products</t>
  </si>
  <si>
    <t>Cost of services</t>
  </si>
  <si>
    <t>Total cost of sales</t>
  </si>
  <si>
    <t>Gross profit</t>
  </si>
  <si>
    <t>Research &amp; development</t>
  </si>
  <si>
    <t>Total operating expenses</t>
  </si>
  <si>
    <t>Operating income</t>
  </si>
  <si>
    <t>Other income/(expense)</t>
  </si>
  <si>
    <t>Pre-tax income</t>
  </si>
  <si>
    <t>Income tax expense</t>
  </si>
  <si>
    <t>BS</t>
  </si>
  <si>
    <t>Cash &amp; equivalents</t>
  </si>
  <si>
    <t>Inventory</t>
  </si>
  <si>
    <t>Other current assets</t>
  </si>
  <si>
    <t>Total current assets</t>
  </si>
  <si>
    <t>Other non-current assets</t>
  </si>
  <si>
    <t>Total assets</t>
  </si>
  <si>
    <t>Accounts payable</t>
  </si>
  <si>
    <t>Other current liabilities</t>
  </si>
  <si>
    <t>Total current liabilities</t>
  </si>
  <si>
    <t>Long-term debt</t>
  </si>
  <si>
    <t>Total liabilities</t>
  </si>
  <si>
    <t>Shareholders' equity</t>
  </si>
  <si>
    <t>CFS</t>
  </si>
  <si>
    <t>Depreciation &amp; amortization</t>
  </si>
  <si>
    <t>Share-based compensation</t>
  </si>
  <si>
    <t>Other investing</t>
  </si>
  <si>
    <t>Cash from investing</t>
  </si>
  <si>
    <t>Cash Flow</t>
  </si>
  <si>
    <t>Other financing</t>
  </si>
  <si>
    <t>Cash from financing</t>
  </si>
  <si>
    <t>APPLE INC. (NASDAQ: AAPL)</t>
  </si>
  <si>
    <t>Investment Analyst Model  |  3-Statement Forecast + DCF Valuation</t>
  </si>
  <si>
    <t>MODEL OVERVIEW</t>
  </si>
  <si>
    <t>Issuer</t>
  </si>
  <si>
    <t>Apple Inc. (NASDAQ: AAPL)</t>
  </si>
  <si>
    <t>Sector</t>
  </si>
  <si>
    <t>Technology — Consumer Electronics &amp; Services</t>
  </si>
  <si>
    <t>Reporting period</t>
  </si>
  <si>
    <t>Fiscal years ending last Saturday of September</t>
  </si>
  <si>
    <t>Historicals</t>
  </si>
  <si>
    <t>FY2021 – FY2025 (5 years actuals from 10-K filings)</t>
  </si>
  <si>
    <t>Projections</t>
  </si>
  <si>
    <t>Methodology</t>
  </si>
  <si>
    <t>Top-down driver-based: segment revenue → gross margin → OpEx → BS roll-forwards</t>
  </si>
  <si>
    <t>Valuation</t>
  </si>
  <si>
    <t>Tax assumption</t>
  </si>
  <si>
    <t>Normalized 15.0% effective rate (FY24 actual elevated by $10.2B EU State Aid charge)</t>
  </si>
  <si>
    <t>Capital return</t>
  </si>
  <si>
    <t>~95% of FCF returned to shareholders via buybacks + dividends (Apple stated policy)</t>
  </si>
  <si>
    <t>WORKBOOK STRUCTURE</t>
  </si>
  <si>
    <t>Cover</t>
  </si>
  <si>
    <t>This page</t>
  </si>
  <si>
    <t>Assumptions</t>
  </si>
  <si>
    <t>All forecast drivers — segment growth rates, margins, tax, WACC inputs (BLUE = editable)</t>
  </si>
  <si>
    <t>Ratios</t>
  </si>
  <si>
    <t>Profitability, returns, leverage, working capital ratios</t>
  </si>
  <si>
    <t>DCF</t>
  </si>
  <si>
    <t>Enterprise value, equity value, implied share price + WACC × g sensitivity</t>
  </si>
  <si>
    <t>Dashboard</t>
  </si>
  <si>
    <t>Executive view — KPIs, valuation summary, key charts</t>
  </si>
  <si>
    <t>Data Refs</t>
  </si>
  <si>
    <t>All 50+ named ranges documented (name, refers to, used in)</t>
  </si>
  <si>
    <t>COLOR CONVENTIONS (IB STANDARD)</t>
  </si>
  <si>
    <t>BLUE</t>
  </si>
  <si>
    <t>Hardcoded inputs (historicals from 10-K + assumption drivers)</t>
  </si>
  <si>
    <t>BLACK</t>
  </si>
  <si>
    <t>Formulas (calculated from inputs and other formulas)</t>
  </si>
  <si>
    <t>GREEN</t>
  </si>
  <si>
    <t>Cross-sheet links (pulled from another sheet)</t>
  </si>
  <si>
    <t>RED</t>
  </si>
  <si>
    <t>Audit checks (must equal zero) and error flags</t>
  </si>
  <si>
    <t>DATA SOURCES</t>
  </si>
  <si>
    <t>10-K FY2025</t>
  </si>
  <si>
    <t>Filed Oct 31, 2025 — covers FY2023A, FY2024A, FY2025A</t>
  </si>
  <si>
    <t>10-K FY2022</t>
  </si>
  <si>
    <t>Filed Oct 28, 2022 — covers FY2020, FY2021A, FY2022A</t>
  </si>
  <si>
    <t>SEC EDGAR</t>
  </si>
  <si>
    <t>https://www.sec.gov/cgi-bin/browse-edgar?action=getcompany&amp;CIK=0000320193</t>
  </si>
  <si>
    <t>PREPARED BY</t>
  </si>
  <si>
    <t>Alven Emmanuel  |  CPA, Financial Data Scientist  |  Nairobi, Kenya</t>
  </si>
  <si>
    <t>Fiverr: alvenemmanuel  |  GitHub: @alvenyuka</t>
  </si>
  <si>
    <t>DATA VALIDATION  |  10-K Source Audit Trail</t>
  </si>
  <si>
    <t>SOURCE DOCUMENTS</t>
  </si>
  <si>
    <t>[1]</t>
  </si>
  <si>
    <t>Apple Inc. Form 10-K FY2025</t>
  </si>
  <si>
    <t>Filed Oct 31, 2025</t>
  </si>
  <si>
    <t>Primary source for FY23, FY24, FY25 line items</t>
  </si>
  <si>
    <t>Open 10-K on SEC.gov →</t>
  </si>
  <si>
    <t>[2]</t>
  </si>
  <si>
    <t>Apple Inc. Form 10-K FY2022</t>
  </si>
  <si>
    <t>Filed Oct 28, 2022</t>
  </si>
  <si>
    <t>Primary source for FY20, FY21, FY22 line items</t>
  </si>
  <si>
    <t>[3]</t>
  </si>
  <si>
    <t>Apple Inc. Form 10-K FY2023</t>
  </si>
  <si>
    <t>Filed Nov 3, 2023</t>
  </si>
  <si>
    <t>Cross-verification for FY21, FY22, FY23</t>
  </si>
  <si>
    <t>[4]</t>
  </si>
  <si>
    <t>Apple FY25 Q4 Press Release</t>
  </si>
  <si>
    <t>Released Oct 30, 2025</t>
  </si>
  <si>
    <t>Full FY25 + FY24 consolidated statements PDF</t>
  </si>
  <si>
    <t>Open Apple PDF →</t>
  </si>
  <si>
    <t>[5]</t>
  </si>
  <si>
    <t>Apple FY22 Q4 Press Release</t>
  </si>
  <si>
    <t>Released Oct 27, 2022</t>
  </si>
  <si>
    <t>Full FY22 + FY21 consolidated statements PDF</t>
  </si>
  <si>
    <t>[6]</t>
  </si>
  <si>
    <t>SEC EDGAR — All Apple 10-K filings</t>
  </si>
  <si>
    <t>Live SEC database</t>
  </si>
  <si>
    <t>Browse all Apple Inc. 10-K filings (CIK: 0000320193)</t>
  </si>
  <si>
    <t>Browse SEC EDGAR →</t>
  </si>
  <si>
    <t>[7]</t>
  </si>
  <si>
    <t>Apple Investor Relations</t>
  </si>
  <si>
    <t>Live company page</t>
  </si>
  <si>
    <t>All SEC filings, press releases, financial data</t>
  </si>
  <si>
    <t>Open Apple IR page →</t>
  </si>
  <si>
    <t>INCOME STATEMENT  |  Historical Validation (USD Millions)</t>
  </si>
  <si>
    <t>Line item</t>
  </si>
  <si>
    <t>Check</t>
  </si>
  <si>
    <t>Source</t>
  </si>
  <si>
    <t>10-K FY22/FY25 p.29</t>
  </si>
  <si>
    <t>Total revenue (calc)</t>
  </si>
  <si>
    <t>Calculated</t>
  </si>
  <si>
    <t>Gross profit (calc)</t>
  </si>
  <si>
    <t>R&amp;D expense</t>
  </si>
  <si>
    <t>SG&amp;A expense</t>
  </si>
  <si>
    <t>Operating income (calc)</t>
  </si>
  <si>
    <t>Pre-tax income (calc)</t>
  </si>
  <si>
    <t>Net income (calc)</t>
  </si>
  <si>
    <t>Diluted EPS ($)</t>
  </si>
  <si>
    <t>BALANCE SHEET  |  Historical Validation (USD Millions)</t>
  </si>
  <si>
    <t>10-K FY22/FY23/FY25 p.31</t>
  </si>
  <si>
    <t>Marketable securities (current)</t>
  </si>
  <si>
    <t>Marketable securities (non-curr)</t>
  </si>
  <si>
    <t>Accounts receivable, net</t>
  </si>
  <si>
    <t>Other CA (vendor + other)</t>
  </si>
  <si>
    <t>10-K (Vendor non-trade + Other CA)</t>
  </si>
  <si>
    <t>Property, plant &amp; equipment, net</t>
  </si>
  <si>
    <t>Other CL (bundled)</t>
  </si>
  <si>
    <t>10-K (OCL+def rev+CP+curr TD)</t>
  </si>
  <si>
    <t>Long-term debt (non-current)</t>
  </si>
  <si>
    <t>Other non-current liabilities</t>
  </si>
  <si>
    <t>Total liabilities + equity</t>
  </si>
  <si>
    <t>Calculated (= Total assets)</t>
  </si>
  <si>
    <t>BALANCE CHECK (must = 0)</t>
  </si>
  <si>
    <t>Audit row</t>
  </si>
  <si>
    <t>CASH FLOW STATEMENT  |  Historical Validation (USD Millions)</t>
  </si>
  <si>
    <t>Beginning cash</t>
  </si>
  <si>
    <t>10-K FY22/FY25 p.33</t>
  </si>
  <si>
    <t>Changes in WC &amp; other (plug)</t>
  </si>
  <si>
    <t>10-K (CFO - NI - D&amp;A - SBC)</t>
  </si>
  <si>
    <t>10-K (Total CFI - CapEx)</t>
  </si>
  <si>
    <t>Free cash flow (CFO - CapEx)</t>
  </si>
  <si>
    <t>10-K (Total CFF - Div - Buybacks)</t>
  </si>
  <si>
    <t>Net change in cash</t>
  </si>
  <si>
    <t>Ending cash</t>
  </si>
  <si>
    <t>VALIDATION SUMMARY</t>
  </si>
  <si>
    <t>Total historical data points verified</t>
  </si>
  <si>
    <t>Data points matching 10-K filings</t>
  </si>
  <si>
    <t>Mismatches</t>
  </si>
  <si>
    <t>Balance sheet check (Assets - L - E)</t>
  </si>
  <si>
    <t>Cash flow ties to BS change in cash</t>
  </si>
  <si>
    <t>Projection methodology</t>
  </si>
  <si>
    <t>Driver-based: segment growth, GM%, OpEx growth, WC days, capital return %</t>
  </si>
  <si>
    <t>Cash is the BS plug</t>
  </si>
  <si>
    <t>Non-current marketable securities row used as plug for projections</t>
  </si>
  <si>
    <t>VALIDATION METHODOLOGY</t>
  </si>
  <si>
    <t>1. Every hardcoded historical value (BLUE cells in IS, BS, CFS) was cross-referenced against Apple Inc.'s SEC 10-K filings.</t>
  </si>
  <si>
    <t>2. Bundled lines (e.g., "Other current liabilities") are footnoted with the components that sum to the model figure.</t>
  </si>
  <si>
    <t>3. All calculated totals (subtotals, sums) tie to the 10-K reported totals via formula.</t>
  </si>
  <si>
    <t>4. Balance sheet balances to zero in all 8 years (5 historical + 3 projected) — see Row 28 of BS tab.</t>
  </si>
  <si>
    <t>5. Cash flow statement ending cash ties to balance sheet cash &amp; equivalents in the next period.</t>
  </si>
  <si>
    <t>6. Validation performed: May 2026 against 10-K filings dated Oct 2022, Nov 2023, Oct 2025.</t>
  </si>
  <si>
    <t>7. Web verification cross-checked SEC EDGAR (sec.gov) and Apple Investor Relations (apple.com/newsroom) PDFs.</t>
  </si>
  <si>
    <t>ASSUMPTIONS  |  Forecast Drivers</t>
  </si>
  <si>
    <t>USD Millions</t>
  </si>
  <si>
    <t>REVENUE GROWTH DRIVERS  |  Segment-Level</t>
  </si>
  <si>
    <t>Products revenue YoY growth</t>
  </si>
  <si>
    <t>Services revenue YoY growth</t>
  </si>
  <si>
    <t>MARGIN DRIVERS  |  Segment-Level Gross Margins</t>
  </si>
  <si>
    <t>Products gross margin %</t>
  </si>
  <si>
    <t>Services gross margin %</t>
  </si>
  <si>
    <t>OPERATING EXPENSE DRIVERS  |  R&amp;D + SG&amp;A YoY Growth</t>
  </si>
  <si>
    <t>R&amp;D expense YoY growth</t>
  </si>
  <si>
    <t>SG&amp;A expense YoY growth</t>
  </si>
  <si>
    <t>OTHER INCOME STATEMENT DRIVERS</t>
  </si>
  <si>
    <t>Other income / (expense), $M</t>
  </si>
  <si>
    <t>Effective tax rate</t>
  </si>
  <si>
    <t>BALANCE SHEET DRIVERS  |  Working Capital Days</t>
  </si>
  <si>
    <t>Days sales outstanding (DSO)</t>
  </si>
  <si>
    <t>Days inventory outstanding (DIO)</t>
  </si>
  <si>
    <t>Days payable outstanding (DPO)</t>
  </si>
  <si>
    <t>CAPEX &amp; DEPRECIATION DRIVERS</t>
  </si>
  <si>
    <t>CapEx as % of revenue</t>
  </si>
  <si>
    <t>Depreciation &amp; amortization, $M</t>
  </si>
  <si>
    <t>CAPITAL RETURN POLICY  |  Per Apple's Stated Plan</t>
  </si>
  <si>
    <t>Capital return as % of FCF</t>
  </si>
  <si>
    <t>Dividends as % of capital return</t>
  </si>
  <si>
    <t>WACC &amp; DCF VALUATION INPUTS</t>
  </si>
  <si>
    <t>Risk-free rate</t>
  </si>
  <si>
    <t>Equity risk premium</t>
  </si>
  <si>
    <t>Beta (Apple)</t>
  </si>
  <si>
    <t>Cost of equity</t>
  </si>
  <si>
    <t>Pre-tax cost of debt</t>
  </si>
  <si>
    <t>Tax rate (for WACC)</t>
  </si>
  <si>
    <t>After-tax cost of debt</t>
  </si>
  <si>
    <t>Target debt / capital</t>
  </si>
  <si>
    <t>Target equity / capital</t>
  </si>
  <si>
    <t>WACC</t>
  </si>
  <si>
    <t>Terminal growth rate (g)</t>
  </si>
  <si>
    <t>VALUATION INPUTS</t>
  </si>
  <si>
    <t>Diluted shares outstanding (M)</t>
  </si>
  <si>
    <t>Current share price (USD)</t>
  </si>
  <si>
    <t>SCENARIO ENGINE  |  Forecast Case Toggle</t>
  </si>
  <si>
    <t>Active scenario  →</t>
  </si>
  <si>
    <t>← Change this dropdown. All FY26–FY28 drivers update; IS/BS/CFS/DCF/Dashboard re-flow.</t>
  </si>
  <si>
    <t>Bear</t>
  </si>
  <si>
    <t>Bull</t>
  </si>
  <si>
    <t>Unit</t>
  </si>
  <si>
    <t>Products revenue growth (avg)</t>
  </si>
  <si>
    <t>%</t>
  </si>
  <si>
    <t>Applied to G8:I8 (per-year overrides preserved as Base values)</t>
  </si>
  <si>
    <t>Services revenue growth (avg)</t>
  </si>
  <si>
    <t>Applied to G9:I9</t>
  </si>
  <si>
    <t>Products gross margin (avg)</t>
  </si>
  <si>
    <t>Applied to G12:I12</t>
  </si>
  <si>
    <t>Services gross margin (avg)</t>
  </si>
  <si>
    <t>Applied to G13:I13</t>
  </si>
  <si>
    <t>R&amp;D expense growth</t>
  </si>
  <si>
    <t>Applied to G16:I16 (Bear = higher spend)</t>
  </si>
  <si>
    <t>SG&amp;A expense growth</t>
  </si>
  <si>
    <t>Applied to G17:I17</t>
  </si>
  <si>
    <t>Applied to G21:I21</t>
  </si>
  <si>
    <t>CapEx % of revenue</t>
  </si>
  <si>
    <t>Applied to G29:I29</t>
  </si>
  <si>
    <t>Beta</t>
  </si>
  <si>
    <t>x</t>
  </si>
  <si>
    <t>Drives WACC at B39</t>
  </si>
  <si>
    <t>Drives DCF terminal at B47</t>
  </si>
  <si>
    <t>Drives WACC at B37</t>
  </si>
  <si>
    <t>Drives WACC at B38</t>
  </si>
  <si>
    <t>Top-down build: segment revenue × segment GM → gross profit → OpEx → operating income → net income</t>
  </si>
  <si>
    <t>REVENUE</t>
  </si>
  <si>
    <t>COST OF SALES</t>
  </si>
  <si>
    <t xml:space="preserve">  Gross margin %</t>
  </si>
  <si>
    <t>OPERATING EXPENSES</t>
  </si>
  <si>
    <t>Selling, general &amp; administrative</t>
  </si>
  <si>
    <t xml:space="preserve">  Operating margin %</t>
  </si>
  <si>
    <t>NON-OPERATING &amp; TAXES</t>
  </si>
  <si>
    <t>Other income / (expense), net</t>
  </si>
  <si>
    <t xml:space="preserve">  Effective tax rate</t>
  </si>
  <si>
    <t xml:space="preserve">  Net margin %</t>
  </si>
  <si>
    <t>TOTAL ASSETS</t>
  </si>
  <si>
    <t>TOTAL LIABILITIES &amp; EQUITY</t>
  </si>
  <si>
    <t>Indirect method | Reconciles net income to change in cash | Audit check: net change ties to BS</t>
  </si>
  <si>
    <t>Cash &amp; equivalents, beginning</t>
  </si>
  <si>
    <t>OPERATING ACTIVITIES</t>
  </si>
  <si>
    <t>Net income (from IS)</t>
  </si>
  <si>
    <t>Changes in working capital &amp; other</t>
  </si>
  <si>
    <t>Cash from operating activities</t>
  </si>
  <si>
    <t>INVESTING ACTIVITIES</t>
  </si>
  <si>
    <t>Cash from investing activities</t>
  </si>
  <si>
    <t>Free cash flow (CFO − CapEx)</t>
  </si>
  <si>
    <t>FINANCING ACTIVITIES</t>
  </si>
  <si>
    <t>Net debt repayment &amp; other financing</t>
  </si>
  <si>
    <t>Cash from financing activities</t>
  </si>
  <si>
    <t>Cash &amp; equivalents, ending</t>
  </si>
  <si>
    <t>RATIOS  |  Profitability, Returns, Liquidity, Leverage</t>
  </si>
  <si>
    <t>All metrics calculated from IS, BS, and CFS sheets — fully formula-driven</t>
  </si>
  <si>
    <t>PROFITABILITY MARGINS</t>
  </si>
  <si>
    <t>EBITDA margin %</t>
  </si>
  <si>
    <t>GROWTH (YoY)</t>
  </si>
  <si>
    <t>Revenue growth %</t>
  </si>
  <si>
    <t>—</t>
  </si>
  <si>
    <t>Operating income growth %</t>
  </si>
  <si>
    <t>Net income growth %</t>
  </si>
  <si>
    <t>RETURNS</t>
  </si>
  <si>
    <t>Return on assets (ROA)</t>
  </si>
  <si>
    <t>Return on equity (ROE)</t>
  </si>
  <si>
    <t>Return on invested capital</t>
  </si>
  <si>
    <t>LEVERAGE &amp; LIQUIDITY</t>
  </si>
  <si>
    <t>Debt / Equity</t>
  </si>
  <si>
    <t>Debt / Total capital</t>
  </si>
  <si>
    <t>Current ratio</t>
  </si>
  <si>
    <t>Net debt ($M)</t>
  </si>
  <si>
    <t>CASH FLOW METRICS</t>
  </si>
  <si>
    <t>Operating cash flow ($M)</t>
  </si>
  <si>
    <t>FCF / Net income</t>
  </si>
  <si>
    <t>CapEx / Revenue</t>
  </si>
  <si>
    <t>DCF VALUATION  |  Discounted Cash Flow</t>
  </si>
  <si>
    <t>Enterprise value via FCF discounting + Gordon Growth terminal | WACC × g sensitivity table</t>
  </si>
  <si>
    <t>Terminal</t>
  </si>
  <si>
    <t>UNLEVERED FREE CASH FLOW BUILD</t>
  </si>
  <si>
    <t>EBIT (operating income)</t>
  </si>
  <si>
    <t>× (1 − tax rate)</t>
  </si>
  <si>
    <t>NOPAT</t>
  </si>
  <si>
    <t>+ Depreciation &amp; amortization</t>
  </si>
  <si>
    <t>− CapEx</t>
  </si>
  <si>
    <t>− Change in working capital</t>
  </si>
  <si>
    <t>Unlevered free cash flow</t>
  </si>
  <si>
    <t>Period (years from today)</t>
  </si>
  <si>
    <t>Discount factor (at WACC)</t>
  </si>
  <si>
    <t>Present value</t>
  </si>
  <si>
    <t>VALUATION SUMMARY</t>
  </si>
  <si>
    <t>Sum PV of forecast FCFs</t>
  </si>
  <si>
    <t>PV of terminal value</t>
  </si>
  <si>
    <t>Enterprise value</t>
  </si>
  <si>
    <t>− Net debt (FY25)</t>
  </si>
  <si>
    <t>Equity value</t>
  </si>
  <si>
    <t>÷ Diluted shares (M)</t>
  </si>
  <si>
    <t>Implied share price</t>
  </si>
  <si>
    <t>Current share price</t>
  </si>
  <si>
    <t>Upside / (downside)</t>
  </si>
  <si>
    <t>SENSITIVITY  |  Implied Share Price by WACC × Terminal Growth</t>
  </si>
  <si>
    <t>Base case (WACC 8.5%, g 2.5%) highlighted in navy. Change inputs on Assumptions sheet rows 37-47 to recalibrate.</t>
  </si>
  <si>
    <t>SENSITIVITY  |  Implied Share Price by Revenue Growth × Operating Margin</t>
  </si>
  <si>
    <t>Assumes WACC = Assumptions!B46, terminal g = Assumptions!B47, tax = Assumptions!B42, capex = Assumptions!G29.</t>
  </si>
  <si>
    <t>Rev Growth ↓ / Op Margin →</t>
  </si>
  <si>
    <t>TORNADO  |  Sensitivity of Implied Share Price to Key Drivers (±1 standard move)</t>
  </si>
  <si>
    <t>Low Case</t>
  </si>
  <si>
    <t>High Case</t>
  </si>
  <si>
    <t>Low Price</t>
  </si>
  <si>
    <t>High Price</t>
  </si>
  <si>
    <t>Swing ($)</t>
  </si>
  <si>
    <t>Revenue growth (avg)</t>
  </si>
  <si>
    <t>-1.0%</t>
  </si>
  <si>
    <t>+1.0%</t>
  </si>
  <si>
    <t>±100 bps off 4% base</t>
  </si>
  <si>
    <t>Operating margin</t>
  </si>
  <si>
    <t>-200 bps</t>
  </si>
  <si>
    <t>+200 bps</t>
  </si>
  <si>
    <t>±200 bps off 32% base</t>
  </si>
  <si>
    <t>+100 bps</t>
  </si>
  <si>
    <t>-100 bps</t>
  </si>
  <si>
    <t>Lower WACC = higher PV</t>
  </si>
  <si>
    <t>Terminal growth</t>
  </si>
  <si>
    <t>-50 bps</t>
  </si>
  <si>
    <t>+50 bps</t>
  </si>
  <si>
    <t>Gordon growth tail</t>
  </si>
  <si>
    <t>Higher tax cuts NOPAT</t>
  </si>
  <si>
    <t>CapEx % revenue</t>
  </si>
  <si>
    <t>Higher capex = lower FCF</t>
  </si>
  <si>
    <t>FOOTBALL FIELD  |  Valuation Range by Methodology (Implied $/share)</t>
  </si>
  <si>
    <t>Mid</t>
  </si>
  <si>
    <t>Range Width</t>
  </si>
  <si>
    <t>DCF — Bear case</t>
  </si>
  <si>
    <t>Low growth 2-3% × OM 28%</t>
  </si>
  <si>
    <t>DCF — Base case</t>
  </si>
  <si>
    <t>Growth 3.5-5% × OM 30-32%</t>
  </si>
  <si>
    <t>DCF — Bull case</t>
  </si>
  <si>
    <t>Growth 6.5-8% × OM 34-36%</t>
  </si>
  <si>
    <t>P/E multiple (22-30x)</t>
  </si>
  <si>
    <t>12-month trading range</t>
  </si>
  <si>
    <t>Analyst target (consensus)</t>
  </si>
  <si>
    <t>Wall Street range</t>
  </si>
  <si>
    <t>Live from Assumptions!B51</t>
  </si>
  <si>
    <t>DATA REFERENCES  |  Named Ranges Documentation</t>
  </si>
  <si>
    <t>Every Dashboard formula uses a named range. Audit any number by tracing its name → cell reference.</t>
  </si>
  <si>
    <t>Name</t>
  </si>
  <si>
    <t>Refers To</t>
  </si>
  <si>
    <t>Used In</t>
  </si>
  <si>
    <t>Revenue_FY25A</t>
  </si>
  <si>
    <t>IS!$F$10</t>
  </si>
  <si>
    <t>Income Statement</t>
  </si>
  <si>
    <t>Dashboard KPI: Revenue FY25A</t>
  </si>
  <si>
    <t>Revenue_FY26E</t>
  </si>
  <si>
    <t>IS!$G$10</t>
  </si>
  <si>
    <t>Calculation only</t>
  </si>
  <si>
    <t>Revenue_FY27E</t>
  </si>
  <si>
    <t>IS!$H$10</t>
  </si>
  <si>
    <t>Revenue_FY28E</t>
  </si>
  <si>
    <t>IS!$I$10</t>
  </si>
  <si>
    <t>Dashboard KPI: Revenue FY28E + 3Y CAGR</t>
  </si>
  <si>
    <t>GrossProfit_FY25A</t>
  </si>
  <si>
    <t>IS!$F$15</t>
  </si>
  <si>
    <t>Dashboard KPI: Gross Profit FY25A</t>
  </si>
  <si>
    <t>GrossProfit_FY28E</t>
  </si>
  <si>
    <t>IS!$I$15</t>
  </si>
  <si>
    <t>Dashboard KPI: Gross Profit FY28E</t>
  </si>
  <si>
    <t>OpIncome_FY25A</t>
  </si>
  <si>
    <t>IS!$F$22</t>
  </si>
  <si>
    <t>Dashboard KPI: Op Income FY25A</t>
  </si>
  <si>
    <t>OpIncome_FY28E</t>
  </si>
  <si>
    <t>IS!$I$22</t>
  </si>
  <si>
    <t>Dashboard KPI: Op Income FY28E</t>
  </si>
  <si>
    <t>NetIncome_FY25A</t>
  </si>
  <si>
    <t>IS!$F$30</t>
  </si>
  <si>
    <t>Dashboard KPI: Net Income FY25A</t>
  </si>
  <si>
    <t>NetIncome_FY26E</t>
  </si>
  <si>
    <t>IS!$G$30</t>
  </si>
  <si>
    <t>NetIncome_FY28E</t>
  </si>
  <si>
    <t>IS!$I$30</t>
  </si>
  <si>
    <t>Dashboard KPI: Net Income FY28E</t>
  </si>
  <si>
    <t>EPS_FY25A</t>
  </si>
  <si>
    <t>IS!$F$33</t>
  </si>
  <si>
    <t>EPS reporting</t>
  </si>
  <si>
    <t>EPS_FY28E</t>
  </si>
  <si>
    <t>IS!$I$33</t>
  </si>
  <si>
    <t>FCF_FY25A</t>
  </si>
  <si>
    <t>CFS!$F$21</t>
  </si>
  <si>
    <t>Dashboard KPI: FCF FY25A</t>
  </si>
  <si>
    <t>FCF_FY26E</t>
  </si>
  <si>
    <t>CFS!$G$21</t>
  </si>
  <si>
    <t>FCF_FY28E</t>
  </si>
  <si>
    <t>CFS!$I$21</t>
  </si>
  <si>
    <t>Dashboard KPI: FCF FY28E</t>
  </si>
  <si>
    <t>ImpliedPrice</t>
  </si>
  <si>
    <t>DCF!$B$26</t>
  </si>
  <si>
    <t>Dashboard: Big implied price tile</t>
  </si>
  <si>
    <t>CurrentPrice</t>
  </si>
  <si>
    <t>DCF!$B$27</t>
  </si>
  <si>
    <t>Dashboard: vs Current</t>
  </si>
  <si>
    <t>Upside</t>
  </si>
  <si>
    <t>DCF!$B$28</t>
  </si>
  <si>
    <t>Dashboard: Upside/(downside) % + Header badge</t>
  </si>
  <si>
    <t>EnterpriseValue</t>
  </si>
  <si>
    <t>DCF!$B$22</t>
  </si>
  <si>
    <t>Dashboard: EV tile</t>
  </si>
  <si>
    <t>EquityValue</t>
  </si>
  <si>
    <t>DCF!$B$24</t>
  </si>
  <si>
    <t>Assumptions!$B$46</t>
  </si>
  <si>
    <t>Dashboard: WACC tile + DCF discounting</t>
  </si>
  <si>
    <t>TerminalGrowth</t>
  </si>
  <si>
    <t>Assumptions!$B$47</t>
  </si>
  <si>
    <t>Dashboard: Terminal growth tile</t>
  </si>
  <si>
    <t>RiskFreeRate</t>
  </si>
  <si>
    <t>Assumptions!$B$37</t>
  </si>
  <si>
    <t>WACC Inputs</t>
  </si>
  <si>
    <t>WACC build</t>
  </si>
  <si>
    <t>ERP</t>
  </si>
  <si>
    <t>Assumptions!$B$38</t>
  </si>
  <si>
    <t>Assumptions!$B$39</t>
  </si>
  <si>
    <t>CostOfEquity</t>
  </si>
  <si>
    <t>Assumptions!$B$40</t>
  </si>
  <si>
    <t>DilutedShares</t>
  </si>
  <si>
    <t>Assumptions!$B$50</t>
  </si>
  <si>
    <t>Equity → price per share</t>
  </si>
  <si>
    <t>Revenue_Range</t>
  </si>
  <si>
    <t>IS!$B$10:$I$10</t>
  </si>
  <si>
    <t>Range</t>
  </si>
  <si>
    <t>Chart: Revenue trajectory</t>
  </si>
  <si>
    <t>OpIncome_Range</t>
  </si>
  <si>
    <t>IS!$B$22:$I$22</t>
  </si>
  <si>
    <t>Chart: Op income (if needed)</t>
  </si>
  <si>
    <t>NetIncome_Range</t>
  </si>
  <si>
    <t>IS!$B$30:$I$30</t>
  </si>
  <si>
    <t>Chart: Net Income trajectory</t>
  </si>
  <si>
    <t>FCF_Range</t>
  </si>
  <si>
    <t>CFS!$B$21:$I$21</t>
  </si>
  <si>
    <t>Chart: FCF trajectory</t>
  </si>
  <si>
    <t>GrossMargin_Range</t>
  </si>
  <si>
    <t>Ratios!$B$7:$I$7</t>
  </si>
  <si>
    <t>Chart: Margins line (GM%)</t>
  </si>
  <si>
    <t>OpMargin_Range</t>
  </si>
  <si>
    <t>Ratios!$B$8:$I$8</t>
  </si>
  <si>
    <t>Chart: Margins line (OM%)</t>
  </si>
  <si>
    <t>NetMargin_Range</t>
  </si>
  <si>
    <t>Ratios!$B$9:$I$9</t>
  </si>
  <si>
    <t>Chart: Margins line (NM%)</t>
  </si>
  <si>
    <t>ProductsRev_Range</t>
  </si>
  <si>
    <t>IS!$B$8:$I$8</t>
  </si>
  <si>
    <t>Chart: Revenue stacked (Products)</t>
  </si>
  <si>
    <t>ServicesRev_Range</t>
  </si>
  <si>
    <t>IS!$B$9:$I$9</t>
  </si>
  <si>
    <t>Chart: Revenue stacked (Services)</t>
  </si>
  <si>
    <t>EPS_Range</t>
  </si>
  <si>
    <t>IS!$B$33:$I$33</t>
  </si>
  <si>
    <t>EPS chart</t>
  </si>
  <si>
    <t>Note: BS holds Cash &amp; equivalents (row 8) and current marketable securities (row 9) flat at FY25 levels. Non-current marketable securities (BS row 10) absorbs the projected cash build/draw via the plug formula. Aggregate Cash + securities ties to CFS ending cash.</t>
  </si>
  <si>
    <t>Region</t>
  </si>
  <si>
    <t>Americas</t>
  </si>
  <si>
    <t>Europe</t>
  </si>
  <si>
    <t>Greater China</t>
  </si>
  <si>
    <t>Japan</t>
  </si>
  <si>
    <t>Rest of APAC</t>
  </si>
  <si>
    <t>Americas g%</t>
  </si>
  <si>
    <t>Europe g%</t>
  </si>
  <si>
    <t>Greater China g%</t>
  </si>
  <si>
    <t>Japan g%</t>
  </si>
  <si>
    <t>RoAPAC g%</t>
  </si>
  <si>
    <t>Total</t>
  </si>
  <si>
    <t>Product Line</t>
  </si>
  <si>
    <t>iPhone</t>
  </si>
  <si>
    <t>Mac</t>
  </si>
  <si>
    <t>iPad</t>
  </si>
  <si>
    <t>Wearables</t>
  </si>
  <si>
    <t>Services</t>
  </si>
  <si>
    <t>iPhone g%</t>
  </si>
  <si>
    <t>Mac g%</t>
  </si>
  <si>
    <t>iPad g%</t>
  </si>
  <si>
    <t>Wearables g%</t>
  </si>
  <si>
    <t>Services g%</t>
  </si>
  <si>
    <t>APPLE INC. (AAPL) FINANCIAL DASHBOARD</t>
  </si>
  <si>
    <t>OVERVIEW OF REVENUE, COSTS, PROFITABILITY &amp; KEY INVESTOR METRICS</t>
  </si>
  <si>
    <t>💲  TOTAL REVENUE FY26E</t>
  </si>
  <si>
    <t>📊  NET INCOME FY26E</t>
  </si>
  <si>
    <t>💰  FREE CASH FLOW FY26E</t>
  </si>
  <si>
    <t>🏆  TOP SEGMENT</t>
  </si>
  <si>
    <t>📈  DILUTED EPS FY26E</t>
  </si>
  <si>
    <t>GEOGRAPHY</t>
  </si>
  <si>
    <t>REVENUE TREND &amp; GROWTH %</t>
  </si>
  <si>
    <t>$M, FY21A–FY28E</t>
  </si>
  <si>
    <t>REVENUE BY GEOGRAPHY FY25A</t>
  </si>
  <si>
    <t>$416B</t>
  </si>
  <si>
    <t>REVENUE BY SEGMENT FY25A</t>
  </si>
  <si>
    <t>$M</t>
  </si>
  <si>
    <t>TOP 5 PRODUCT LINES BY REVENUE FY25A</t>
  </si>
  <si>
    <t>P&amp;L CASCADE BY FISCAL YEAR</t>
  </si>
  <si>
    <t>PROFITABILITY MARGINS TREND</t>
  </si>
  <si>
    <t>% by FY</t>
  </si>
  <si>
    <t>REVENUE BY PRODUCT LINE FY25A</t>
  </si>
  <si>
    <t>FREE CASH FLOW BY FY</t>
  </si>
  <si>
    <t>$B</t>
  </si>
  <si>
    <t>KEY INVESTOR INSIGHTS</t>
  </si>
  <si>
    <t>REGION</t>
  </si>
  <si>
    <t>🟢</t>
  </si>
  <si>
    <t>Services mix shift and own-silicon advantage compounding.</t>
  </si>
  <si>
    <t>💡</t>
  </si>
  <si>
    <t>LINE ITEM</t>
  </si>
  <si>
    <t>Total Revenue</t>
  </si>
  <si>
    <t>(-) Cost of Sales</t>
  </si>
  <si>
    <t>Gross Profit</t>
  </si>
  <si>
    <t>(-) R&amp;D Expense</t>
  </si>
  <si>
    <t>(-) SG&amp;A Expense</t>
  </si>
  <si>
    <t>Operating Income</t>
  </si>
  <si>
    <t>(-) Income Tax</t>
  </si>
  <si>
    <t>Net Income</t>
  </si>
  <si>
    <t>Free Cash Flow</t>
  </si>
  <si>
    <t>Products ($B)</t>
  </si>
  <si>
    <t>Services ($B)</t>
  </si>
  <si>
    <t>Growth %</t>
  </si>
  <si>
    <t>FY25A ($B)</t>
  </si>
  <si>
    <t>Segment</t>
  </si>
  <si>
    <t>Products</t>
  </si>
  <si>
    <t>Product</t>
  </si>
  <si>
    <t>Gross %</t>
  </si>
  <si>
    <t>Operating %</t>
  </si>
  <si>
    <t>Net %</t>
  </si>
  <si>
    <t>FCF %</t>
  </si>
  <si>
    <t>FCF ($B)</t>
  </si>
  <si>
    <t>FILTERS &amp; CONTROLS</t>
  </si>
  <si>
    <t>▾</t>
  </si>
  <si>
    <t>Click ▾ to filter</t>
  </si>
  <si>
    <t>Charts respond live</t>
  </si>
  <si>
    <t>Wearables, Home &amp; Accessories</t>
  </si>
  <si>
    <t xml:space="preserve">  Check vs Total revenue (row 10)</t>
  </si>
  <si>
    <t>Fcst growth</t>
  </si>
  <si>
    <t xml:space="preserve">  % of total revenue</t>
  </si>
  <si>
    <t>REVENUE BY GEOGRAPHIC SEGMENT</t>
  </si>
  <si>
    <t>Rest of Asia Pacific</t>
  </si>
  <si>
    <t xml:space="preserve">  Americas</t>
  </si>
  <si>
    <t xml:space="preserve">  Europe</t>
  </si>
  <si>
    <t xml:space="preserve">  Greater China</t>
  </si>
  <si>
    <t xml:space="preserve">  Japan</t>
  </si>
  <si>
    <t xml:space="preserve">  Rest of Asia Pacific</t>
  </si>
  <si>
    <t>GROSS MARGIN DETAIL  |  By Segment</t>
  </si>
  <si>
    <t>Products gross profit</t>
  </si>
  <si>
    <t xml:space="preserve">  Products gross margin %</t>
  </si>
  <si>
    <t>Services gross profit</t>
  </si>
  <si>
    <t xml:space="preserve">  Services gross margin %</t>
  </si>
  <si>
    <t>Total gross profit</t>
  </si>
  <si>
    <t xml:space="preserve">  Blended gross margin %</t>
  </si>
  <si>
    <t>Source: Apple 10-K (FY22 + FY25). Geographic + product splits per SEC EDGAR filings. Forecast growth rates (column J) are editable inputs (blue) — change to flex the model.</t>
  </si>
  <si>
    <t>YoY Revenue Growth</t>
  </si>
  <si>
    <t>-</t>
  </si>
  <si>
    <t>(+) Depreciation &amp; Amortization</t>
  </si>
  <si>
    <t>EBITDA</t>
  </si>
  <si>
    <t>EBITDA Margin %</t>
  </si>
  <si>
    <t>PER SHARE DATA</t>
  </si>
  <si>
    <t>Basic EPS ($)</t>
  </si>
  <si>
    <t>Dividend per share ($)</t>
  </si>
  <si>
    <t>CURRENT ASSETS</t>
  </si>
  <si>
    <t>Cash &amp; cash equivalents</t>
  </si>
  <si>
    <t>Short-term marketable securities</t>
  </si>
  <si>
    <t>Vendor non-trade receivables</t>
  </si>
  <si>
    <t>Total Current Assets</t>
  </si>
  <si>
    <t>NON-CURRENT ASSETS</t>
  </si>
  <si>
    <t>Long-term marketable securities</t>
  </si>
  <si>
    <t>Total Non-Current Assets</t>
  </si>
  <si>
    <t>CURRENT LIABILITIES</t>
  </si>
  <si>
    <t>Deferred revenue</t>
  </si>
  <si>
    <t>Commercial paper</t>
  </si>
  <si>
    <t>Current portion of LT debt</t>
  </si>
  <si>
    <t>Total Current Liabilities</t>
  </si>
  <si>
    <t>NON-CURRENT LIABILITIES</t>
  </si>
  <si>
    <t>Total Non-Current Liabilities</t>
  </si>
  <si>
    <t>Total Liabilities</t>
  </si>
  <si>
    <t>SHAREHOLDERS' EQUITY</t>
  </si>
  <si>
    <t>Common stock &amp; paid-in capital</t>
  </si>
  <si>
    <t>Retained earnings</t>
  </si>
  <si>
    <t>Accumulated other comp. inc/(loss)</t>
  </si>
  <si>
    <t>Total Shareholders' Equity</t>
  </si>
  <si>
    <t>KEY METRICS</t>
  </si>
  <si>
    <t>Total Debt</t>
  </si>
  <si>
    <t>Net Debt</t>
  </si>
  <si>
    <t>Working Capital</t>
  </si>
  <si>
    <t>Current Ratio</t>
  </si>
  <si>
    <t>Quick Ratio</t>
  </si>
  <si>
    <t>Share-based compensation as % of revenue</t>
  </si>
  <si>
    <t>Other current liabilities as % of revenue</t>
  </si>
  <si>
    <t>Deferred revenue as % of services revenue</t>
  </si>
  <si>
    <t>Vendor non-trade receivables as % of COGS</t>
  </si>
  <si>
    <t>FREE CASH FLOW</t>
  </si>
  <si>
    <t xml:space="preserve">  FCF Margin %</t>
  </si>
  <si>
    <t xml:space="preserve">  CapEx / Revenue %</t>
  </si>
  <si>
    <t xml:space="preserve">  </t>
  </si>
  <si>
    <t xml:space="preserve">  iPhone YoY growth</t>
  </si>
  <si>
    <t xml:space="preserve">  Mac YoY growth</t>
  </si>
  <si>
    <t xml:space="preserve">  iPad YoY growth</t>
  </si>
  <si>
    <t xml:space="preserve">  Wearables YoY growth</t>
  </si>
  <si>
    <t>Other income $M</t>
  </si>
  <si>
    <t>D&amp;A as % of revenue</t>
  </si>
  <si>
    <t>FY2029E</t>
  </si>
  <si>
    <t>Sep 30, 2029</t>
  </si>
  <si>
    <t>BS STRUCTURAL &amp; DEBT SCHEDULE  |  Scenario-Flexed Inputs</t>
  </si>
  <si>
    <t>FY26E Bear</t>
  </si>
  <si>
    <t>FY26E Base</t>
  </si>
  <si>
    <t>FY26E Bull</t>
  </si>
  <si>
    <t>FY27E Bear</t>
  </si>
  <si>
    <t>FY27E Base</t>
  </si>
  <si>
    <t>FY27E Bull</t>
  </si>
  <si>
    <t>FY28E Bear</t>
  </si>
  <si>
    <t>FY28E Base</t>
  </si>
  <si>
    <t>FY28E Bull</t>
  </si>
  <si>
    <t xml:space="preserve"> Revenue YoY growth</t>
  </si>
  <si>
    <t>FY29E Bear</t>
  </si>
  <si>
    <t>FY29E Base</t>
  </si>
  <si>
    <t>FY29E Bull</t>
  </si>
  <si>
    <t>FY29E EPS × 22–30x range</t>
  </si>
  <si>
    <t>FY29E EBITDA × 16–22x</t>
  </si>
  <si>
    <t>FY29E</t>
  </si>
  <si>
    <t>Revenue_FY29E</t>
  </si>
  <si>
    <t>IS!$K$14</t>
  </si>
  <si>
    <t>FY29E Total Revenue</t>
  </si>
  <si>
    <t>NetIncome_FY29E</t>
  </si>
  <si>
    <t>IS!$K$38</t>
  </si>
  <si>
    <t>FY29E Net Income</t>
  </si>
  <si>
    <t>EPS_FY29E</t>
  </si>
  <si>
    <t>IS!$K$43</t>
  </si>
  <si>
    <t>FY29E Diluted EPS</t>
  </si>
  <si>
    <t>FCF_FY29E</t>
  </si>
  <si>
    <t>CFS!$J$21</t>
  </si>
  <si>
    <t>FY29E Free Cash Flow</t>
  </si>
  <si>
    <t>FY2026E – FY2029E (4 years forecast)</t>
  </si>
  <si>
    <t>Income Statement FY21A–FY29E — top-down build from segment revenue</t>
  </si>
  <si>
    <t>Balance Sheet FY21A–FY29E — working capital days-based, full roll-forwards</t>
  </si>
  <si>
    <t>Cash Flow Statement FY21A–FY29E — indirect method, ties to BS change in cash</t>
  </si>
  <si>
    <t>DCF using WACC ~8.5%, terminal growth 2.5%, with 5×5 sensitivity table; 4-year explicit forecast + terminal at year 5</t>
  </si>
  <si>
    <t>Slice-and-dice analytical layer  |  Source: IS, CFS, Ratios sheets (direct cell refs)  |  Filter via cell B7</t>
  </si>
  <si>
    <t>Pivots auto-update via direct cell references to IS, CFS, and Ratios sheets  |  Filter via cell B7  |  All values traceable to source statements</t>
  </si>
  <si>
    <t>FORECAST SANITY CHECKS  |  FY2026E – FY2029E</t>
  </si>
  <si>
    <t>Plausibility band tests — flags forecasts that drift outside reasonable financial ranges.</t>
  </si>
  <si>
    <t>Expected range</t>
  </si>
  <si>
    <t>Revenue growth in [-5%, +15%] band</t>
  </si>
  <si>
    <t>-5% to +15%</t>
  </si>
  <si>
    <t>Gross margin in [40%, 55%] band</t>
  </si>
  <si>
    <t>40% to 55%</t>
  </si>
  <si>
    <t>Operating margin in [25%, 40%] band</t>
  </si>
  <si>
    <t>25% to 40%</t>
  </si>
  <si>
    <t>Effective tax rate in [10%, 25%]</t>
  </si>
  <si>
    <t>10% to 25%</t>
  </si>
  <si>
    <t>Net margin in [20%, 35%] band</t>
  </si>
  <si>
    <t>20% to 35%</t>
  </si>
  <si>
    <t>CapEx % revenue in [1.5%, 5%]</t>
  </si>
  <si>
    <t>1.5% to 5%</t>
  </si>
  <si>
    <t>FCF margin in [20%, 40%]</t>
  </si>
  <si>
    <t>20% to 40%</t>
  </si>
  <si>
    <t>Net income &gt; 0</t>
  </si>
  <si>
    <t>Must be positive</t>
  </si>
  <si>
    <t>Cash + securities &gt; 0</t>
  </si>
  <si>
    <t>Liquidity must be &gt; 0</t>
  </si>
  <si>
    <t>STRUCTURAL CHECKS  |  Cross-Statement Tie-Outs</t>
  </si>
  <si>
    <t>Critical integrity checks across IS, BS, CFS — if any fail, the model has a structural problem.</t>
  </si>
  <si>
    <t>BS balance: Assets = Liab + Equity</t>
  </si>
  <si>
    <t>CFS ending cash → BS Cash (next yr begin)</t>
  </si>
  <si>
    <t>n/a</t>
  </si>
  <si>
    <t>CFS Net Income = IS Net Income</t>
  </si>
  <si>
    <t>CFS D&amp;A = IS D&amp;A</t>
  </si>
  <si>
    <t>Live error-detection dashboard — historical values vs. 10-K + structural integrity + forecast sanity checks</t>
  </si>
  <si>
    <t>MODEL HEALTH</t>
  </si>
  <si>
    <t>$B / % mix</t>
  </si>
  <si>
    <t>MIX</t>
  </si>
  <si>
    <t>INCOME STATEMENT  |  FY2021A – FY2029E</t>
  </si>
  <si>
    <t xml:space="preserve">  APPLE INC. — BALANCE SHEET (FY2021A-FY2029E)</t>
  </si>
  <si>
    <t>CASH FLOW STATEMENT  |  FY2021A – FY2029E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</si>
</sst>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\$#,##0.00"/>
    <numFmt numFmtId="165" formatCode="0.0%"/>
    <numFmt numFmtId="166" formatCode="#,##0;\(#,##0\);\-"/>
    <numFmt numFmtId="167" formatCode="0.0%;\(0.0%\);\-"/>
    <numFmt numFmtId="168" formatCode="0.0%;\(0.0%\);\—"/>
    <numFmt numFmtId="169" formatCode="0.0"/>
    <numFmt numFmtId="170" formatCode="0.00%;\(0.00%\);\—"/>
    <numFmt numFmtId="171" formatCode="#,##0.0"/>
    <numFmt numFmtId="172" formatCode="0.00\x"/>
    <numFmt numFmtId="173" formatCode="0.0000"/>
    <numFmt numFmtId="174" formatCode="\+0.0%;\-0.0%;\—"/>
    <numFmt numFmtId="175" formatCode="#,##0;\(#,##0\)"/>
    <numFmt numFmtId="176" formatCode="&quot;Ksh&quot;0.00"/>
    <numFmt numFmtId="177" formatCode="[$$-409]#,##0.00"/>
    <numFmt numFmtId="178" formatCode="[$$-409]#,##0.0&quot;B&quot;"/>
  </numFmts>
  <fonts count="138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sz val="10"/>
      <color rgb="FF000000"/>
      <name val="Calibri"/>
      <charset val="1"/>
    </font>
    <font>
      <sz val="10"/>
      <color rgb="FFC00000"/>
      <name val="Calibri"/>
      <charset val="1"/>
    </font>
    <font>
      <sz val="10"/>
      <color rgb="FF107C41"/>
      <name val="Calibri"/>
      <charset val="1"/>
    </font>
    <font>
      <b/>
      <sz val="10"/>
      <color rgb="FF000000"/>
      <name val="Calibri"/>
      <charset val="1"/>
    </font>
    <font>
      <b/>
      <sz val="10"/>
      <color rgb="FF1A2B4A"/>
      <name val="Calibri"/>
      <charset val="1"/>
    </font>
    <font>
      <i/>
      <sz val="9"/>
      <color rgb="FF666666"/>
      <name val="Calibri"/>
      <charset val="1"/>
    </font>
    <font>
      <b/>
      <sz val="18"/>
      <color rgb="FFFFFFFF"/>
      <name val="Calibri"/>
      <charset val="1"/>
    </font>
    <font>
      <b/>
      <sz val="10"/>
      <color rgb="FF5A6478"/>
      <name val="Calibri"/>
      <charset val="1"/>
    </font>
    <font>
      <i/>
      <sz val="9"/>
      <color rgb="FF5A6478"/>
      <name val="Calibri"/>
      <charset val="1"/>
    </font>
    <font>
      <b/>
      <sz val="10"/>
      <color rgb="FFFFFFFF"/>
      <name val="Calibri"/>
      <charset val="1"/>
    </font>
    <font>
      <sz val="10"/>
      <color rgb="FF0B1426"/>
      <name val="Calibri"/>
      <charset val="1"/>
    </font>
    <font>
      <b/>
      <sz val="22"/>
      <color rgb="FFFFFFFF"/>
      <name val="Calibri"/>
      <charset val="1"/>
    </font>
    <font>
      <i/>
      <sz val="12"/>
      <color rgb="FFC5CFD9"/>
      <name val="Calibri"/>
      <charset val="1"/>
    </font>
    <font>
      <b/>
      <sz val="11"/>
      <color rgb="FF0A2342"/>
      <name val="Calibri"/>
      <charset val="1"/>
    </font>
    <font>
      <i/>
      <sz val="10"/>
      <color rgb="FF5A6478"/>
      <name val="Calibri"/>
      <charset val="1"/>
    </font>
    <font>
      <b/>
      <sz val="14"/>
      <color rgb="FFFFFFFF"/>
      <name val="Calibri"/>
      <charset val="1"/>
    </font>
    <font>
      <b/>
      <sz val="11"/>
      <color rgb="FF0FA958"/>
      <name val="Calibri"/>
      <charset val="1"/>
    </font>
    <font>
      <b/>
      <sz val="10"/>
      <color rgb="FF0FA958"/>
      <name val="Calibri"/>
      <charset val="1"/>
    </font>
    <font>
      <b/>
      <sz val="12"/>
      <color rgb="FF1A2B4A"/>
      <name val="Calibri"/>
      <charset val="1"/>
    </font>
    <font>
      <b/>
      <sz val="10"/>
      <color rgb="FF333333"/>
      <name val="Calibri"/>
      <charset val="1"/>
    </font>
    <font>
      <sz val="10"/>
      <color rgb="FF0066CC"/>
      <name val="Calibri"/>
      <charset val="1"/>
    </font>
    <font>
      <sz val="9"/>
      <color rgb="FF666666"/>
      <name val="Calibri"/>
      <charset val="1"/>
    </font>
    <font>
      <sz val="10"/>
      <name val="Arial"/>
      <family val="2"/>
    </font>
    <font>
      <sz val="9"/>
      <color rgb="FFC00000"/>
      <name val="Calibri"/>
      <charset val="1"/>
    </font>
    <font>
      <sz val="9"/>
      <color rgb="FF107C41"/>
      <name val="Calibri"/>
      <charset val="1"/>
    </font>
    <font>
      <b/>
      <sz val="10"/>
      <color rgb="FF0066CC"/>
      <name val="Calibri"/>
      <charset val="1"/>
    </font>
    <font>
      <sz val="10"/>
      <color rgb="FF5A6478"/>
      <name val="Calibri"/>
      <charset val="1"/>
    </font>
    <font>
      <b/>
      <sz val="18"/>
      <color rgb="FFFFFFFF"/>
      <name val="Helvetica Neue"/>
    </font>
    <font>
      <sz val="10"/>
      <color rgb="FF86868B"/>
      <name val="Calibri"/>
      <family val="2"/>
      <charset val="1"/>
    </font>
    <font>
      <sz val="10"/>
      <color rgb="FF86868B"/>
      <name val="Helvetica Neue"/>
    </font>
    <font>
      <sz val="14"/>
      <color rgb="FF86868B"/>
      <name val="Calibri"/>
      <family val="2"/>
      <charset val="1"/>
    </font>
    <font>
      <sz val="9"/>
      <color rgb="FF86868B"/>
      <name val="Calibri"/>
      <family val="2"/>
      <charset val="1"/>
    </font>
    <font>
      <sz val="9"/>
      <color rgb="FF86868B"/>
      <name val="Helvetica Neue"/>
    </font>
    <font>
      <b/>
      <sz val="9"/>
      <color rgb="FF86868B"/>
      <name val="Helvetica Neue"/>
    </font>
    <font>
      <sz val="11"/>
      <color rgb="FF1D1D1F"/>
      <name val="Calibri"/>
      <family val="2"/>
      <charset val="1"/>
    </font>
    <font>
      <b/>
      <sz val="22"/>
      <color rgb="FF1D1D1F"/>
      <name val="Helvetica Neue"/>
    </font>
    <font>
      <sz val="10"/>
      <color rgb="FF34C759"/>
      <name val="Helvetica Neue"/>
    </font>
    <font>
      <sz val="14"/>
      <color theme="1"/>
      <name val="Calibri"/>
      <family val="2"/>
      <charset val="1"/>
    </font>
    <font>
      <b/>
      <sz val="26"/>
      <color rgb="FF1D1D1F"/>
      <name val="Helvetica Neue"/>
    </font>
    <font>
      <sz val="10"/>
      <color rgb="FF1D1D1F"/>
      <name val="Calibri"/>
      <family val="2"/>
      <charset val="1"/>
    </font>
    <font>
      <sz val="10"/>
      <color rgb="FF1D1D1F"/>
      <name val="Helvetica Neue"/>
    </font>
    <font>
      <b/>
      <sz val="11"/>
      <color rgb="FF1D1D1F"/>
      <name val="Helvetica Neue"/>
    </font>
    <font>
      <b/>
      <sz val="10"/>
      <color rgb="FF1D1D1F"/>
      <name val="Helvetica Neue"/>
    </font>
    <font>
      <sz val="10"/>
      <color theme="1"/>
      <name val="Calibri"/>
      <family val="2"/>
      <charset val="1"/>
    </font>
    <font>
      <sz val="11"/>
      <color rgb="FF0071E3"/>
      <name val="Calibri"/>
      <family val="2"/>
      <charset val="1"/>
    </font>
    <font>
      <b/>
      <sz val="9"/>
      <color rgb="FF0071E3"/>
      <name val="Helvetica Neue"/>
    </font>
    <font>
      <sz val="11"/>
      <color rgb="FFF5F5F7"/>
      <name val="Calibri"/>
      <family val="2"/>
      <charset val="1"/>
    </font>
    <font>
      <b/>
      <sz val="24"/>
      <color rgb="FFFFFFFF"/>
      <name val="Calibri"/>
      <charset val="1"/>
    </font>
    <font>
      <i/>
      <sz val="12"/>
      <color rgb="FFA1A1A6"/>
      <name val="Calibri"/>
      <charset val="1"/>
    </font>
    <font>
      <b/>
      <sz val="14"/>
      <color rgb="FF1D1D1F"/>
      <name val="Calibri"/>
      <charset val="1"/>
    </font>
    <font>
      <b/>
      <sz val="10"/>
      <color rgb="FF1D1D1F"/>
      <name val="Calibri"/>
      <charset val="1"/>
    </font>
    <font>
      <b/>
      <sz val="10"/>
      <color rgb="FF0071E3"/>
      <name val="Calibri"/>
      <charset val="1"/>
    </font>
    <font>
      <b/>
      <sz val="10"/>
      <color rgb="FF34C759"/>
      <name val="Calibri"/>
      <charset val="1"/>
    </font>
    <font>
      <b/>
      <sz val="10"/>
      <color rgb="FFFF3B30"/>
      <name val="Calibri"/>
      <charset val="1"/>
    </font>
    <font>
      <sz val="10"/>
      <color rgb="FF1D1D1F"/>
      <name val="Calibri"/>
      <charset val="1"/>
    </font>
    <font>
      <i/>
      <sz val="10"/>
      <color rgb="FFA1A1A6"/>
      <name val="Calibri"/>
      <charset val="1"/>
    </font>
    <font>
      <b/>
      <i/>
      <sz val="10"/>
      <color rgb="FF1D1D1F"/>
      <name val="Calibri"/>
      <charset val="1"/>
    </font>
    <font>
      <i/>
      <sz val="8"/>
      <color rgb="FF86868B"/>
      <name val="Calibri"/>
      <charset val="1"/>
    </font>
    <font>
      <sz val="10"/>
      <color rgb="FF34C759"/>
      <name val="Calibri"/>
      <charset val="1"/>
    </font>
    <font>
      <sz val="10"/>
      <color rgb="FF0071E3"/>
      <name val="Calibri"/>
      <charset val="1"/>
    </font>
    <font>
      <i/>
      <sz val="9"/>
      <color rgb="FF1D1D1F"/>
      <name val="Calibri"/>
      <charset val="1"/>
    </font>
    <font>
      <sz val="10"/>
      <color rgb="FF86868B"/>
      <name val="Calibri"/>
      <charset val="1"/>
    </font>
    <font>
      <i/>
      <sz val="9"/>
      <color rgb="FF0071E3"/>
      <name val="Calibri"/>
      <charset val="1"/>
    </font>
    <font>
      <b/>
      <u/>
      <sz val="10"/>
      <color rgb="FF0071E3"/>
      <name val="Calibri"/>
      <charset val="1"/>
    </font>
    <font>
      <sz val="9"/>
      <color rgb="FF1D1D1F"/>
      <name val="Calibri"/>
      <charset val="1"/>
    </font>
    <font>
      <b/>
      <sz val="16"/>
      <color rgb="FF1D1D1F"/>
      <name val="Calibri"/>
      <charset val="1"/>
    </font>
    <font>
      <b/>
      <sz val="14"/>
      <color rgb="FF0071E3"/>
      <name val="Calibri"/>
      <charset val="1"/>
    </font>
    <font>
      <i/>
      <sz val="9"/>
      <color rgb="FFA1A1A6"/>
      <name val="Calibri"/>
      <charset val="1"/>
    </font>
    <font>
      <sz val="9"/>
      <color rgb="FF1D1D1F"/>
      <name val="Consolas"/>
      <charset val="1"/>
    </font>
    <font>
      <b/>
      <sz val="9"/>
      <color rgb="FF86868B"/>
      <name val="Calibri"/>
      <family val="2"/>
      <charset val="1"/>
    </font>
    <font>
      <i/>
      <sz val="9"/>
      <color rgb="FF86868B"/>
      <name val="Calibri"/>
      <family val="2"/>
      <charset val="1"/>
    </font>
    <font>
      <b/>
      <sz val="11"/>
      <color rgb="FF1D1D1F"/>
      <name val="Calibri"/>
      <family val="2"/>
      <charset val="1"/>
    </font>
    <font>
      <b/>
      <sz val="8"/>
      <color rgb="FF86868B"/>
      <name val="Calibri"/>
      <family val="2"/>
      <charset val="1"/>
    </font>
    <font>
      <sz val="8"/>
      <color rgb="FF86868B"/>
      <name val="Calibri"/>
      <family val="2"/>
      <charset val="1"/>
    </font>
    <font>
      <b/>
      <i/>
      <sz val="8"/>
      <color rgb="FF86868B"/>
      <name val="Calibri"/>
      <family val="2"/>
      <charset val="1"/>
    </font>
    <font>
      <i/>
      <sz val="8"/>
      <color rgb="FF86868B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1D1D1F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charset val="1"/>
    </font>
    <font>
      <b/>
      <sz val="10"/>
      <color rgb="FF1D1D1F"/>
      <name val="Calibri"/>
      <family val="2"/>
    </font>
    <font>
      <i/>
      <sz val="10"/>
      <color rgb="FF1D1D1F"/>
      <name val="Calibri"/>
      <family val="2"/>
    </font>
    <font>
      <i/>
      <sz val="10"/>
      <color rgb="FF5A6478"/>
      <name val="Calibri"/>
      <family val="2"/>
    </font>
    <font>
      <sz val="9"/>
      <color indexed="81"/>
      <name val="Tahoma"/>
      <family val="2"/>
    </font>
    <font>
      <sz val="10"/>
      <color rgb="FF1D1D1F"/>
      <name val="Calibri"/>
      <family val="2"/>
    </font>
    <font>
      <b/>
      <sz val="10"/>
      <color rgb="FF0071E3"/>
      <name val="Calibri"/>
    </font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6"/>
      <color rgb="FFFFFFFF"/>
      <name val="Calibri"/>
    </font>
    <font>
      <sz val="11"/>
      <color theme="1"/>
      <name val="Calibri"/>
      <family val="2"/>
    </font>
    <font>
      <b/>
      <i/>
      <sz val="9"/>
      <color rgb="FF86868B"/>
      <name val="Calibri"/>
      <family val="2"/>
    </font>
    <font>
      <b/>
      <sz val="11"/>
      <color theme="1"/>
      <name val="Calibri"/>
      <family val="2"/>
    </font>
    <font>
      <b/>
      <sz val="9"/>
      <color rgb="FF86868B"/>
      <name val="Calibri"/>
      <family val="2"/>
    </font>
    <font>
      <sz val="11"/>
      <color rgb="FF0000FF"/>
      <name val="Calibri"/>
      <family val="2"/>
      <charset val="1"/>
    </font>
    <font>
      <b/>
      <sz val="9"/>
      <color indexed="81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rgb="FF008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charset val="1"/>
    </font>
    <font>
      <b/>
      <sz val="11"/>
      <color rgb="FF0070C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9"/>
      <color rgb="FF595959"/>
      <name val="Calibri"/>
      <family val="2"/>
      <charset val="1"/>
    </font>
    <font>
      <i/>
      <sz val="10"/>
      <color rgb="FF595959"/>
      <name val="Calibri"/>
      <charset val="1"/>
    </font>
    <font>
      <i/>
      <sz val="10"/>
      <color rgb="FF000000"/>
      <name val="Calibri"/>
      <charset val="1"/>
    </font>
    <font>
      <b/>
      <sz val="11"/>
      <color rgb="FF0070C0"/>
      <name val="Calibri"/>
      <charset val="1"/>
    </font>
    <font>
      <sz val="8"/>
      <name val="Calibri"/>
      <family val="2"/>
      <charset val="1"/>
    </font>
    <font>
      <i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Helvetica Neue"/>
    </font>
    <font>
      <b/>
      <sz val="11"/>
      <color rgb="FFFFFFFF"/>
      <name val="Calibri"/>
      <family val="2"/>
    </font>
    <font>
      <sz val="11"/>
      <color rgb="FF0071E3"/>
      <name val="Calibri"/>
      <family val="2"/>
    </font>
    <font>
      <sz val="11"/>
      <color rgb="FF008000"/>
      <name val="Calibri"/>
      <family val="2"/>
    </font>
    <font>
      <b/>
      <sz val="11"/>
      <color rgb="FF1D1D1F"/>
      <name val="Calibri"/>
      <family val="2"/>
    </font>
    <font>
      <sz val="11"/>
      <color rgb="FF1D1D1F"/>
      <name val="Calibri"/>
      <family val="2"/>
    </font>
    <font>
      <b/>
      <i/>
      <sz val="11"/>
      <color theme="1"/>
      <name val="Calibri"/>
      <family val="2"/>
      <charset val="1"/>
    </font>
    <font>
      <b/>
      <sz val="10"/>
      <color rgb="FF0000FF"/>
      <name val="Calibri"/>
      <family val="2"/>
    </font>
    <font>
      <b/>
      <sz val="12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sz val="11"/>
      <color rgb="FF999999"/>
      <name val="Calibri"/>
      <family val="2"/>
      <charset val="1"/>
    </font>
    <font>
      <b/>
      <sz val="10"/>
      <color rgb="FF0FA958"/>
      <name val="Calibri"/>
      <family val="2"/>
    </font>
    <font>
      <b/>
      <sz val="10"/>
      <color rgb="FF008000"/>
      <name val="Calibri"/>
      <family val="2"/>
    </font>
    <font>
      <b/>
      <sz val="10"/>
      <color rgb="FFFF0000"/>
      <name val="Calibri"/>
      <family val="2"/>
    </font>
    <font>
      <sz val="10"/>
      <color rgb="FF0FA958"/>
      <name val="Calibri"/>
      <family val="2"/>
    </font>
    <font>
      <i/>
      <sz val="10"/>
      <color rgb="FF666666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FF"/>
      <name val="Calibri"/>
      <family val="2"/>
    </font>
    <font>
      <sz val="11"/>
      <color rgb="FF34C759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1D1D1F"/>
      <name val="Helvetica Neue"/>
    </font>
  </fonts>
  <fills count="28">
    <fill>
      <patternFill patternType="none"/>
    </fill>
    <fill>
      <patternFill patternType="gray125"/>
    </fill>
    <fill>
      <patternFill patternType="solid">
        <fgColor rgb="FF1A2B4A"/>
        <bgColor rgb="FF0A2342"/>
      </patternFill>
    </fill>
    <fill>
      <patternFill patternType="solid">
        <fgColor rgb="FFE5EBF5"/>
        <bgColor rgb="FFEAF2FB"/>
      </patternFill>
    </fill>
    <fill>
      <patternFill patternType="solid">
        <fgColor rgb="FFEAF2FB"/>
        <bgColor rgb="FFEEF2F7"/>
      </patternFill>
    </fill>
    <fill>
      <patternFill patternType="solid">
        <fgColor rgb="FF107C41"/>
        <bgColor rgb="FF008000"/>
      </patternFill>
    </fill>
    <fill>
      <patternFill patternType="solid">
        <fgColor rgb="FF061A33"/>
        <bgColor rgb="FF0B1426"/>
      </patternFill>
    </fill>
    <fill>
      <patternFill patternType="solid">
        <fgColor rgb="FFF5F7FB"/>
        <bgColor rgb="FFF5F5F7"/>
      </patternFill>
    </fill>
    <fill>
      <patternFill patternType="solid">
        <fgColor rgb="FFFFFFFF"/>
        <bgColor rgb="FFFAFBFD"/>
      </patternFill>
    </fill>
    <fill>
      <patternFill patternType="solid">
        <fgColor rgb="FF2E5BFF"/>
        <bgColor rgb="FF0066CC"/>
      </patternFill>
    </fill>
    <fill>
      <patternFill patternType="solid">
        <fgColor rgb="FFFAFBFC"/>
        <bgColor rgb="FFFAFBFD"/>
      </patternFill>
    </fill>
    <fill>
      <patternFill patternType="solid">
        <fgColor rgb="FF0FA958"/>
        <bgColor rgb="FF0F9F9D"/>
      </patternFill>
    </fill>
    <fill>
      <patternFill patternType="solid">
        <fgColor rgb="FFF5F5F7"/>
        <bgColor rgb="FFF5F7FB"/>
      </patternFill>
    </fill>
    <fill>
      <patternFill patternType="solid">
        <fgColor rgb="FFC00000"/>
        <bgColor rgb="FFC8102E"/>
      </patternFill>
    </fill>
    <fill>
      <patternFill patternType="solid">
        <fgColor rgb="FFFCE9E9"/>
        <bgColor rgb="FFF5F5F7"/>
      </patternFill>
    </fill>
    <fill>
      <patternFill patternType="solid">
        <fgColor rgb="FFE2F3E5"/>
        <bgColor rgb="FFE5EBF5"/>
      </patternFill>
    </fill>
    <fill>
      <patternFill patternType="solid">
        <fgColor rgb="FFF5F5F7"/>
        <bgColor indexed="64"/>
      </patternFill>
    </fill>
    <fill>
      <patternFill patternType="solid">
        <fgColor rgb="FF1D1D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8FF"/>
        <bgColor indexed="64"/>
      </patternFill>
    </fill>
    <fill>
      <patternFill patternType="solid">
        <fgColor rgb="FF0071E3"/>
        <bgColor indexed="64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1D1D1F"/>
      </patternFill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3CD"/>
        <bgColor indexed="64"/>
      </patternFill>
    </fill>
  </fills>
  <borders count="24">
    <border>
      <left/>
      <right/>
      <top/>
      <bottom/>
      <diagonal/>
    </border>
    <border>
      <left style="thin">
        <color rgb="FFD0D0D5"/>
      </left>
      <right style="thin">
        <color rgb="FFD0D0D5"/>
      </right>
      <top style="thin">
        <color rgb="FFD0D0D5"/>
      </top>
      <bottom style="thin">
        <color rgb="FFD0D0D5"/>
      </bottom>
      <diagonal/>
    </border>
    <border>
      <left style="medium">
        <color rgb="FF2E5BFF"/>
      </left>
      <right style="medium">
        <color rgb="FF2E5BFF"/>
      </right>
      <top style="medium">
        <color rgb="FF2E5BFF"/>
      </top>
      <bottom style="medium">
        <color rgb="FF2E5BFF"/>
      </bottom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>
      <left/>
      <right/>
      <top style="thin">
        <color rgb="FF0B1426"/>
      </top>
      <bottom style="thin">
        <color rgb="FF0B1426"/>
      </bottom>
      <diagonal/>
    </border>
    <border>
      <left/>
      <right/>
      <top/>
      <bottom style="medium">
        <color rgb="FF0A2342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/>
      <right/>
      <top style="thin">
        <color rgb="FF0B1426"/>
      </top>
      <bottom/>
      <diagonal/>
    </border>
    <border>
      <left/>
      <right/>
      <top style="thin">
        <color rgb="FF0B1426"/>
      </top>
      <bottom style="double">
        <color rgb="FF0B1426"/>
      </bottom>
      <diagonal/>
    </border>
    <border>
      <left/>
      <right/>
      <top style="thin">
        <color rgb="FFD2D2D7"/>
      </top>
      <bottom/>
      <diagonal/>
    </border>
    <border>
      <left/>
      <right/>
      <top/>
      <bottom style="thin">
        <color rgb="FFD2D2D7"/>
      </bottom>
      <diagonal/>
    </border>
    <border>
      <left style="thin">
        <color rgb="FFD2D2D7"/>
      </left>
      <right/>
      <top style="thin">
        <color rgb="FFD2D2D7"/>
      </top>
      <bottom/>
      <diagonal/>
    </border>
    <border>
      <left style="thin">
        <color rgb="FFD2D2D7"/>
      </left>
      <right/>
      <top/>
      <bottom/>
      <diagonal/>
    </border>
    <border>
      <left style="thin">
        <color rgb="FFD2D2D7"/>
      </left>
      <right/>
      <top/>
      <bottom style="thin">
        <color rgb="FFD2D2D7"/>
      </bottom>
      <diagonal/>
    </border>
    <border>
      <left/>
      <right style="thin">
        <color rgb="FFD2D2D7"/>
      </right>
      <top style="thin">
        <color rgb="FFD2D2D7"/>
      </top>
      <bottom/>
      <diagonal/>
    </border>
    <border>
      <left/>
      <right style="thin">
        <color rgb="FFD2D2D7"/>
      </right>
      <top/>
      <bottom/>
      <diagonal/>
    </border>
    <border>
      <left/>
      <right style="thin">
        <color rgb="FFD2D2D7"/>
      </right>
      <top/>
      <bottom style="thin">
        <color rgb="FFD2D2D7"/>
      </bottom>
      <diagonal/>
    </border>
    <border>
      <left style="thin">
        <color rgb="FFE5E5EA"/>
      </left>
      <right/>
      <top/>
      <bottom style="thin">
        <color rgb="FFE5E5EA"/>
      </bottom>
      <diagonal/>
    </border>
    <border>
      <left/>
      <right/>
      <top/>
      <bottom style="thin">
        <color rgb="FFE5E5EA"/>
      </bottom>
      <diagonal/>
    </border>
    <border>
      <left/>
      <right style="thin">
        <color rgb="FFE5E5EA"/>
      </right>
      <top/>
      <bottom style="thin">
        <color rgb="FFE5E5EA"/>
      </bottom>
      <diagonal/>
    </border>
    <border>
      <left/>
      <right/>
      <top/>
      <bottom style="medium">
        <color rgb="FF1D1D1F"/>
      </bottom>
      <diagonal/>
    </border>
    <border>
      <left/>
      <right/>
      <top style="thin">
        <color rgb="FF0B1426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0D5"/>
      </left>
      <right style="thin">
        <color rgb="FFD0D0D5"/>
      </right>
      <top/>
      <bottom/>
      <diagonal/>
    </border>
  </borders>
  <cellStyleXfs count="2">
    <xf numFmtId="0" fontId="0" fillId="0" borderId="0"/>
    <xf numFmtId="9" fontId="83" fillId="0" borderId="0" applyFont="0" applyFill="0" applyBorder="0" applyAlignment="0" applyProtection="0"/>
  </cellStyleXfs>
  <cellXfs count="370">
    <xf numFmtId="0" fontId="0" fillId="0" borderId="0" xfId="0"/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11" fillId="0" borderId="0" xfId="0" applyFont="1"/>
    <xf numFmtId="0" fontId="0" fillId="9" borderId="0" xfId="0" applyFill="1"/>
    <xf numFmtId="0" fontId="19" fillId="10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6" fillId="0" borderId="0" xfId="0" applyFont="1" applyAlignment="1">
      <alignment horizontal="right" vertical="center"/>
    </xf>
    <xf numFmtId="0" fontId="21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2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23" fillId="14" borderId="1" xfId="0" applyNumberFormat="1" applyFont="1" applyFill="1" applyBorder="1" applyAlignment="1">
      <alignment horizontal="center" vertical="center"/>
    </xf>
    <xf numFmtId="165" fontId="23" fillId="3" borderId="1" xfId="0" applyNumberFormat="1" applyFont="1" applyFill="1" applyBorder="1" applyAlignment="1">
      <alignment horizontal="center" vertical="center"/>
    </xf>
    <xf numFmtId="165" fontId="23" fillId="15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23" fillId="14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15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5" fontId="12" fillId="2" borderId="5" xfId="0" applyNumberFormat="1" applyFont="1" applyFill="1" applyBorder="1" applyAlignment="1">
      <alignment horizontal="center" vertical="center"/>
    </xf>
    <xf numFmtId="10" fontId="12" fillId="2" borderId="0" xfId="0" applyNumberFormat="1" applyFont="1" applyFill="1" applyAlignment="1">
      <alignment horizontal="center" vertical="center"/>
    </xf>
    <xf numFmtId="0" fontId="8" fillId="0" borderId="0" xfId="0" applyFont="1"/>
    <xf numFmtId="165" fontId="12" fillId="2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28" fillId="4" borderId="1" xfId="0" applyFont="1" applyFill="1" applyBorder="1"/>
    <xf numFmtId="164" fontId="28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/>
    <xf numFmtId="0" fontId="29" fillId="7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0" fillId="16" borderId="0" xfId="0" applyFill="1"/>
    <xf numFmtId="0" fontId="30" fillId="17" borderId="0" xfId="0" applyFont="1" applyFill="1" applyAlignment="1">
      <alignment horizontal="left"/>
    </xf>
    <xf numFmtId="0" fontId="32" fillId="17" borderId="0" xfId="0" applyFont="1" applyFill="1" applyAlignment="1">
      <alignment horizontal="left"/>
    </xf>
    <xf numFmtId="0" fontId="0" fillId="17" borderId="0" xfId="0" applyFill="1"/>
    <xf numFmtId="0" fontId="0" fillId="18" borderId="0" xfId="0" applyFill="1"/>
    <xf numFmtId="0" fontId="36" fillId="18" borderId="9" xfId="0" applyFont="1" applyFill="1" applyBorder="1" applyAlignment="1">
      <alignment horizontal="left"/>
    </xf>
    <xf numFmtId="0" fontId="0" fillId="18" borderId="9" xfId="0" applyFill="1" applyBorder="1"/>
    <xf numFmtId="0" fontId="0" fillId="18" borderId="10" xfId="0" applyFill="1" applyBorder="1"/>
    <xf numFmtId="0" fontId="33" fillId="18" borderId="11" xfId="0" applyFont="1" applyFill="1" applyBorder="1" applyAlignment="1">
      <alignment horizontal="left"/>
    </xf>
    <xf numFmtId="0" fontId="0" fillId="18" borderId="12" xfId="0" applyFill="1" applyBorder="1"/>
    <xf numFmtId="0" fontId="0" fillId="18" borderId="13" xfId="0" applyFill="1" applyBorder="1"/>
    <xf numFmtId="0" fontId="0" fillId="18" borderId="14" xfId="0" applyFill="1" applyBorder="1"/>
    <xf numFmtId="0" fontId="0" fillId="18" borderId="15" xfId="0" applyFill="1" applyBorder="1"/>
    <xf numFmtId="0" fontId="0" fillId="18" borderId="16" xfId="0" applyFill="1" applyBorder="1"/>
    <xf numFmtId="0" fontId="40" fillId="18" borderId="11" xfId="0" applyFont="1" applyFill="1" applyBorder="1" applyAlignment="1">
      <alignment horizontal="left"/>
    </xf>
    <xf numFmtId="0" fontId="32" fillId="18" borderId="12" xfId="0" applyFont="1" applyFill="1" applyBorder="1" applyAlignment="1">
      <alignment horizontal="left"/>
    </xf>
    <xf numFmtId="0" fontId="38" fillId="18" borderId="12" xfId="0" applyFont="1" applyFill="1" applyBorder="1" applyAlignment="1">
      <alignment horizontal="left" vertical="center"/>
    </xf>
    <xf numFmtId="0" fontId="36" fillId="18" borderId="0" xfId="0" applyFont="1" applyFill="1" applyAlignment="1">
      <alignment horizontal="left" vertical="center"/>
    </xf>
    <xf numFmtId="0" fontId="0" fillId="18" borderId="0" xfId="0" applyFill="1" applyAlignment="1">
      <alignment vertical="center"/>
    </xf>
    <xf numFmtId="0" fontId="0" fillId="18" borderId="15" xfId="0" applyFill="1" applyBorder="1" applyAlignment="1">
      <alignment vertical="center"/>
    </xf>
    <xf numFmtId="0" fontId="39" fillId="18" borderId="12" xfId="0" applyFont="1" applyFill="1" applyBorder="1" applyAlignment="1">
      <alignment horizontal="left" vertical="center"/>
    </xf>
    <xf numFmtId="0" fontId="32" fillId="18" borderId="12" xfId="0" applyFont="1" applyFill="1" applyBorder="1" applyAlignment="1">
      <alignment horizontal="left" vertical="center"/>
    </xf>
    <xf numFmtId="0" fontId="0" fillId="18" borderId="12" xfId="0" applyFill="1" applyBorder="1" applyAlignment="1">
      <alignment vertical="center"/>
    </xf>
    <xf numFmtId="0" fontId="43" fillId="18" borderId="12" xfId="0" applyFont="1" applyFill="1" applyBorder="1" applyAlignment="1">
      <alignment horizontal="left"/>
    </xf>
    <xf numFmtId="0" fontId="44" fillId="18" borderId="9" xfId="0" applyFont="1" applyFill="1" applyBorder="1" applyAlignment="1">
      <alignment horizontal="left"/>
    </xf>
    <xf numFmtId="0" fontId="35" fillId="18" borderId="9" xfId="0" applyFont="1" applyFill="1" applyBorder="1" applyAlignment="1">
      <alignment horizontal="right"/>
    </xf>
    <xf numFmtId="0" fontId="44" fillId="18" borderId="11" xfId="0" applyFont="1" applyFill="1" applyBorder="1" applyAlignment="1">
      <alignment horizontal="left"/>
    </xf>
    <xf numFmtId="0" fontId="35" fillId="18" borderId="14" xfId="0" applyFont="1" applyFill="1" applyBorder="1" applyAlignment="1">
      <alignment horizontal="right"/>
    </xf>
    <xf numFmtId="0" fontId="36" fillId="18" borderId="12" xfId="0" applyFont="1" applyFill="1" applyBorder="1" applyAlignment="1">
      <alignment horizontal="left"/>
    </xf>
    <xf numFmtId="0" fontId="36" fillId="18" borderId="0" xfId="0" applyFont="1" applyFill="1" applyAlignment="1">
      <alignment horizontal="right"/>
    </xf>
    <xf numFmtId="0" fontId="45" fillId="18" borderId="12" xfId="0" applyFont="1" applyFill="1" applyBorder="1" applyAlignment="1">
      <alignment horizontal="left"/>
    </xf>
    <xf numFmtId="3" fontId="45" fillId="18" borderId="0" xfId="0" applyNumberFormat="1" applyFont="1" applyFill="1" applyAlignment="1">
      <alignment horizontal="right"/>
    </xf>
    <xf numFmtId="0" fontId="46" fillId="18" borderId="12" xfId="0" applyFont="1" applyFill="1" applyBorder="1" applyAlignment="1">
      <alignment horizontal="center"/>
    </xf>
    <xf numFmtId="0" fontId="45" fillId="18" borderId="0" xfId="0" applyFont="1" applyFill="1" applyAlignment="1">
      <alignment horizontal="left"/>
    </xf>
    <xf numFmtId="0" fontId="35" fillId="18" borderId="0" xfId="0" applyFont="1" applyFill="1" applyAlignment="1">
      <alignment horizontal="left"/>
    </xf>
    <xf numFmtId="0" fontId="48" fillId="18" borderId="0" xfId="0" applyFont="1" applyFill="1" applyAlignment="1">
      <alignment horizontal="right"/>
    </xf>
    <xf numFmtId="0" fontId="49" fillId="16" borderId="0" xfId="0" applyFont="1" applyFill="1"/>
    <xf numFmtId="0" fontId="49" fillId="18" borderId="9" xfId="0" applyFont="1" applyFill="1" applyBorder="1"/>
    <xf numFmtId="0" fontId="49" fillId="16" borderId="12" xfId="0" applyFont="1" applyFill="1" applyBorder="1"/>
    <xf numFmtId="0" fontId="49" fillId="16" borderId="13" xfId="0" applyFont="1" applyFill="1" applyBorder="1"/>
    <xf numFmtId="0" fontId="49" fillId="16" borderId="10" xfId="0" applyFont="1" applyFill="1" applyBorder="1"/>
    <xf numFmtId="166" fontId="0" fillId="18" borderId="0" xfId="0" applyNumberFormat="1" applyFill="1"/>
    <xf numFmtId="2" fontId="0" fillId="18" borderId="0" xfId="0" applyNumberFormat="1" applyFill="1"/>
    <xf numFmtId="0" fontId="53" fillId="0" borderId="0" xfId="0" applyFont="1" applyAlignment="1">
      <alignment horizontal="left" vertical="center"/>
    </xf>
    <xf numFmtId="0" fontId="53" fillId="0" borderId="0" xfId="0" applyFont="1"/>
    <xf numFmtId="0" fontId="53" fillId="18" borderId="0" xfId="0" applyFont="1" applyFill="1" applyAlignment="1">
      <alignment horizontal="left" vertical="center"/>
    </xf>
    <xf numFmtId="0" fontId="57" fillId="18" borderId="0" xfId="0" applyFont="1" applyFill="1" applyAlignment="1">
      <alignment horizontal="left" vertical="center"/>
    </xf>
    <xf numFmtId="0" fontId="54" fillId="18" borderId="0" xfId="0" applyFont="1" applyFill="1"/>
    <xf numFmtId="0" fontId="53" fillId="18" borderId="0" xfId="0" applyFont="1" applyFill="1"/>
    <xf numFmtId="0" fontId="55" fillId="18" borderId="0" xfId="0" applyFont="1" applyFill="1"/>
    <xf numFmtId="0" fontId="56" fillId="18" borderId="0" xfId="0" applyFont="1" applyFill="1"/>
    <xf numFmtId="0" fontId="57" fillId="18" borderId="0" xfId="0" applyFont="1" applyFill="1"/>
    <xf numFmtId="0" fontId="16" fillId="18" borderId="0" xfId="0" applyFont="1" applyFill="1"/>
    <xf numFmtId="0" fontId="13" fillId="18" borderId="0" xfId="0" applyFont="1" applyFill="1" applyAlignment="1">
      <alignment horizontal="left" vertical="center"/>
    </xf>
    <xf numFmtId="0" fontId="17" fillId="18" borderId="0" xfId="0" applyFont="1" applyFill="1"/>
    <xf numFmtId="0" fontId="59" fillId="0" borderId="0" xfId="0" applyFont="1" applyAlignment="1">
      <alignment horizontal="left" vertical="center" indent="1"/>
    </xf>
    <xf numFmtId="0" fontId="53" fillId="19" borderId="5" xfId="0" applyFont="1" applyFill="1" applyBorder="1" applyAlignment="1">
      <alignment horizontal="center" vertical="center"/>
    </xf>
    <xf numFmtId="0" fontId="54" fillId="20" borderId="5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57" fillId="0" borderId="0" xfId="0" applyFont="1" applyAlignment="1">
      <alignment horizontal="left" vertical="center" indent="2"/>
    </xf>
    <xf numFmtId="168" fontId="61" fillId="19" borderId="0" xfId="0" applyNumberFormat="1" applyFont="1" applyFill="1" applyAlignment="1">
      <alignment horizontal="right" vertical="center"/>
    </xf>
    <xf numFmtId="166" fontId="61" fillId="19" borderId="0" xfId="0" applyNumberFormat="1" applyFont="1" applyFill="1" applyAlignment="1">
      <alignment horizontal="right" vertical="center"/>
    </xf>
    <xf numFmtId="171" fontId="62" fillId="20" borderId="0" xfId="0" applyNumberFormat="1" applyFont="1" applyFill="1" applyAlignment="1">
      <alignment horizontal="right" vertical="center"/>
    </xf>
    <xf numFmtId="164" fontId="62" fillId="20" borderId="0" xfId="0" applyNumberFormat="1" applyFont="1" applyFill="1" applyAlignment="1">
      <alignment horizontal="right" vertical="center"/>
    </xf>
    <xf numFmtId="166" fontId="62" fillId="19" borderId="0" xfId="0" applyNumberFormat="1" applyFont="1" applyFill="1" applyAlignment="1">
      <alignment horizontal="right" vertical="center"/>
    </xf>
    <xf numFmtId="166" fontId="3" fillId="20" borderId="0" xfId="0" applyNumberFormat="1" applyFont="1" applyFill="1" applyAlignment="1">
      <alignment horizontal="right" vertical="center"/>
    </xf>
    <xf numFmtId="0" fontId="53" fillId="0" borderId="0" xfId="0" applyFont="1" applyAlignment="1">
      <alignment horizontal="left" vertical="center" indent="1"/>
    </xf>
    <xf numFmtId="166" fontId="53" fillId="19" borderId="7" xfId="0" applyNumberFormat="1" applyFont="1" applyFill="1" applyBorder="1" applyAlignment="1">
      <alignment horizontal="right" vertical="center"/>
    </xf>
    <xf numFmtId="166" fontId="53" fillId="20" borderId="7" xfId="0" applyNumberFormat="1" applyFont="1" applyFill="1" applyBorder="1" applyAlignment="1">
      <alignment horizontal="right" vertical="center"/>
    </xf>
    <xf numFmtId="0" fontId="63" fillId="0" borderId="0" xfId="0" applyFont="1" applyAlignment="1">
      <alignment horizontal="left" vertical="center" indent="2"/>
    </xf>
    <xf numFmtId="166" fontId="53" fillId="19" borderId="4" xfId="0" applyNumberFormat="1" applyFont="1" applyFill="1" applyBorder="1" applyAlignment="1">
      <alignment horizontal="right" vertical="center"/>
    </xf>
    <xf numFmtId="166" fontId="53" fillId="20" borderId="4" xfId="0" applyNumberFormat="1" applyFont="1" applyFill="1" applyBorder="1" applyAlignment="1">
      <alignment horizontal="right" vertical="center"/>
    </xf>
    <xf numFmtId="166" fontId="61" fillId="20" borderId="0" xfId="0" applyNumberFormat="1" applyFont="1" applyFill="1" applyAlignment="1">
      <alignment horizontal="right" vertical="center"/>
    </xf>
    <xf numFmtId="166" fontId="53" fillId="19" borderId="8" xfId="0" applyNumberFormat="1" applyFont="1" applyFill="1" applyBorder="1" applyAlignment="1">
      <alignment horizontal="right" vertical="center"/>
    </xf>
    <xf numFmtId="166" fontId="53" fillId="20" borderId="8" xfId="0" applyNumberFormat="1" applyFont="1" applyFill="1" applyBorder="1" applyAlignment="1">
      <alignment horizontal="right" vertical="center"/>
    </xf>
    <xf numFmtId="0" fontId="57" fillId="0" borderId="0" xfId="0" applyFont="1" applyAlignment="1">
      <alignment horizontal="left" vertical="center" indent="1"/>
    </xf>
    <xf numFmtId="166" fontId="59" fillId="19" borderId="4" xfId="0" applyNumberFormat="1" applyFont="1" applyFill="1" applyBorder="1" applyAlignment="1">
      <alignment horizontal="right" vertical="center"/>
    </xf>
    <xf numFmtId="166" fontId="59" fillId="20" borderId="4" xfId="0" applyNumberFormat="1" applyFont="1" applyFill="1" applyBorder="1" applyAlignment="1">
      <alignment horizontal="right" vertical="center"/>
    </xf>
    <xf numFmtId="165" fontId="61" fillId="19" borderId="0" xfId="0" applyNumberFormat="1" applyFont="1" applyFill="1" applyAlignment="1">
      <alignment horizontal="right" vertical="center"/>
    </xf>
    <xf numFmtId="165" fontId="61" fillId="20" borderId="0" xfId="0" applyNumberFormat="1" applyFont="1" applyFill="1" applyAlignment="1">
      <alignment horizontal="right" vertical="center"/>
    </xf>
    <xf numFmtId="0" fontId="64" fillId="19" borderId="0" xfId="0" applyFont="1" applyFill="1" applyAlignment="1">
      <alignment horizontal="right" vertical="center"/>
    </xf>
    <xf numFmtId="172" fontId="61" fillId="19" borderId="0" xfId="0" applyNumberFormat="1" applyFont="1" applyFill="1" applyAlignment="1">
      <alignment horizontal="right" vertical="center"/>
    </xf>
    <xf numFmtId="172" fontId="61" fillId="20" borderId="0" xfId="0" applyNumberFormat="1" applyFont="1" applyFill="1" applyAlignment="1">
      <alignment horizontal="right" vertical="center"/>
    </xf>
    <xf numFmtId="10" fontId="61" fillId="19" borderId="0" xfId="0" applyNumberFormat="1" applyFont="1" applyFill="1" applyAlignment="1">
      <alignment horizontal="right" vertical="center"/>
    </xf>
    <xf numFmtId="10" fontId="61" fillId="20" borderId="0" xfId="0" applyNumberFormat="1" applyFont="1" applyFill="1" applyAlignment="1">
      <alignment horizontal="right" vertical="center"/>
    </xf>
    <xf numFmtId="1" fontId="65" fillId="20" borderId="0" xfId="0" applyNumberFormat="1" applyFont="1" applyFill="1" applyAlignment="1">
      <alignment horizontal="right" vertical="center"/>
    </xf>
    <xf numFmtId="173" fontId="3" fillId="20" borderId="0" xfId="0" applyNumberFormat="1" applyFont="1" applyFill="1" applyAlignment="1">
      <alignment horizontal="right" vertical="center"/>
    </xf>
    <xf numFmtId="166" fontId="6" fillId="20" borderId="0" xfId="0" applyNumberFormat="1" applyFont="1" applyFill="1" applyAlignment="1">
      <alignment horizontal="right" vertical="center"/>
    </xf>
    <xf numFmtId="171" fontId="3" fillId="20" borderId="0" xfId="0" applyNumberFormat="1" applyFont="1" applyFill="1" applyAlignment="1">
      <alignment horizontal="right" vertical="center"/>
    </xf>
    <xf numFmtId="164" fontId="12" fillId="17" borderId="0" xfId="0" applyNumberFormat="1" applyFont="1" applyFill="1" applyAlignment="1">
      <alignment horizontal="right" vertical="center"/>
    </xf>
    <xf numFmtId="164" fontId="3" fillId="20" borderId="0" xfId="0" applyNumberFormat="1" applyFont="1" applyFill="1" applyAlignment="1">
      <alignment horizontal="right" vertical="center"/>
    </xf>
    <xf numFmtId="174" fontId="54" fillId="20" borderId="0" xfId="0" applyNumberFormat="1" applyFont="1" applyFill="1" applyAlignment="1">
      <alignment horizontal="right" vertical="center"/>
    </xf>
    <xf numFmtId="164" fontId="3" fillId="20" borderId="1" xfId="0" applyNumberFormat="1" applyFont="1" applyFill="1" applyBorder="1" applyAlignment="1">
      <alignment horizontal="center" vertical="center"/>
    </xf>
    <xf numFmtId="0" fontId="0" fillId="21" borderId="0" xfId="0" applyFill="1"/>
    <xf numFmtId="0" fontId="54" fillId="7" borderId="0" xfId="0" applyFont="1" applyFill="1" applyAlignment="1">
      <alignment horizontal="center" vertical="center"/>
    </xf>
    <xf numFmtId="0" fontId="57" fillId="7" borderId="0" xfId="0" applyFont="1" applyFill="1" applyAlignment="1">
      <alignment horizontal="left" vertical="center"/>
    </xf>
    <xf numFmtId="0" fontId="54" fillId="8" borderId="0" xfId="0" applyFont="1" applyFill="1" applyAlignment="1">
      <alignment horizontal="center" vertical="center"/>
    </xf>
    <xf numFmtId="0" fontId="57" fillId="8" borderId="0" xfId="0" applyFont="1" applyFill="1" applyAlignment="1">
      <alignment horizontal="left" vertical="center"/>
    </xf>
    <xf numFmtId="0" fontId="12" fillId="21" borderId="5" xfId="0" applyFont="1" applyFill="1" applyBorder="1" applyAlignment="1">
      <alignment horizontal="left" vertical="center" indent="1"/>
    </xf>
    <xf numFmtId="0" fontId="12" fillId="21" borderId="5" xfId="0" applyFont="1" applyFill="1" applyBorder="1" applyAlignment="1">
      <alignment horizontal="center" vertical="center"/>
    </xf>
    <xf numFmtId="0" fontId="57" fillId="10" borderId="0" xfId="0" applyFont="1" applyFill="1" applyAlignment="1">
      <alignment horizontal="left" indent="1"/>
    </xf>
    <xf numFmtId="166" fontId="57" fillId="10" borderId="0" xfId="0" applyNumberFormat="1" applyFont="1" applyFill="1" applyAlignment="1">
      <alignment horizontal="right"/>
    </xf>
    <xf numFmtId="0" fontId="57" fillId="0" borderId="0" xfId="0" applyFont="1" applyAlignment="1">
      <alignment horizontal="left" indent="1"/>
    </xf>
    <xf numFmtId="166" fontId="57" fillId="0" borderId="0" xfId="0" applyNumberFormat="1" applyFont="1" applyAlignment="1">
      <alignment horizontal="right"/>
    </xf>
    <xf numFmtId="164" fontId="57" fillId="0" borderId="0" xfId="0" applyNumberFormat="1" applyFont="1" applyAlignment="1">
      <alignment horizontal="right"/>
    </xf>
    <xf numFmtId="0" fontId="53" fillId="10" borderId="0" xfId="0" applyFont="1" applyFill="1" applyAlignment="1">
      <alignment horizontal="left" indent="1"/>
    </xf>
    <xf numFmtId="166" fontId="53" fillId="10" borderId="0" xfId="0" applyNumberFormat="1" applyFont="1" applyFill="1" applyAlignment="1">
      <alignment horizontal="right"/>
    </xf>
    <xf numFmtId="0" fontId="53" fillId="0" borderId="0" xfId="0" applyFont="1" applyAlignment="1">
      <alignment horizontal="left" indent="1"/>
    </xf>
    <xf numFmtId="166" fontId="53" fillId="0" borderId="0" xfId="0" applyNumberFormat="1" applyFont="1" applyAlignment="1">
      <alignment horizontal="right"/>
    </xf>
    <xf numFmtId="0" fontId="12" fillId="21" borderId="0" xfId="0" applyFont="1" applyFill="1" applyAlignment="1">
      <alignment horizontal="left" vertical="center" indent="1"/>
    </xf>
    <xf numFmtId="0" fontId="12" fillId="21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166" fontId="57" fillId="7" borderId="0" xfId="0" applyNumberFormat="1" applyFont="1" applyFill="1" applyAlignment="1">
      <alignment horizontal="right" vertical="center" indent="1"/>
    </xf>
    <xf numFmtId="166" fontId="57" fillId="8" borderId="0" xfId="0" applyNumberFormat="1" applyFont="1" applyFill="1" applyAlignment="1">
      <alignment horizontal="right" vertical="center" indent="1"/>
    </xf>
    <xf numFmtId="166" fontId="53" fillId="7" borderId="4" xfId="0" applyNumberFormat="1" applyFont="1" applyFill="1" applyBorder="1" applyAlignment="1">
      <alignment horizontal="right" vertical="center" indent="1"/>
    </xf>
    <xf numFmtId="167" fontId="57" fillId="7" borderId="0" xfId="0" applyNumberFormat="1" applyFont="1" applyFill="1" applyAlignment="1">
      <alignment horizontal="right" vertical="center" indent="1"/>
    </xf>
    <xf numFmtId="167" fontId="57" fillId="8" borderId="0" xfId="0" applyNumberFormat="1" applyFont="1" applyFill="1" applyAlignment="1">
      <alignment horizontal="right" vertical="center" indent="1"/>
    </xf>
    <xf numFmtId="0" fontId="54" fillId="7" borderId="0" xfId="0" applyFont="1" applyFill="1" applyAlignment="1">
      <alignment horizontal="left" vertical="center" indent="1"/>
    </xf>
    <xf numFmtId="0" fontId="71" fillId="7" borderId="0" xfId="0" applyFont="1" applyFill="1" applyAlignment="1">
      <alignment horizontal="left" vertical="center" indent="1"/>
    </xf>
    <xf numFmtId="0" fontId="54" fillId="0" borderId="0" xfId="0" applyFont="1" applyAlignment="1">
      <alignment horizontal="left" vertical="center" indent="1"/>
    </xf>
    <xf numFmtId="0" fontId="71" fillId="0" borderId="0" xfId="0" applyFont="1" applyAlignment="1">
      <alignment horizontal="left" vertical="center" indent="1"/>
    </xf>
    <xf numFmtId="0" fontId="74" fillId="18" borderId="0" xfId="0" applyFont="1" applyFill="1"/>
    <xf numFmtId="166" fontId="74" fillId="18" borderId="0" xfId="0" applyNumberFormat="1" applyFont="1" applyFill="1"/>
    <xf numFmtId="0" fontId="73" fillId="18" borderId="13" xfId="0" applyFont="1" applyFill="1" applyBorder="1"/>
    <xf numFmtId="0" fontId="72" fillId="18" borderId="11" xfId="0" applyFont="1" applyFill="1" applyBorder="1" applyAlignment="1">
      <alignment horizontal="left"/>
    </xf>
    <xf numFmtId="0" fontId="75" fillId="18" borderId="12" xfId="0" applyFont="1" applyFill="1" applyBorder="1" applyAlignment="1">
      <alignment horizontal="left"/>
    </xf>
    <xf numFmtId="0" fontId="74" fillId="18" borderId="12" xfId="0" applyFont="1" applyFill="1" applyBorder="1" applyAlignment="1">
      <alignment horizontal="left"/>
    </xf>
    <xf numFmtId="0" fontId="31" fillId="18" borderId="15" xfId="0" applyFont="1" applyFill="1" applyBorder="1" applyAlignment="1">
      <alignment horizontal="center"/>
    </xf>
    <xf numFmtId="0" fontId="76" fillId="18" borderId="12" xfId="0" applyFont="1" applyFill="1" applyBorder="1"/>
    <xf numFmtId="0" fontId="77" fillId="18" borderId="12" xfId="0" applyFont="1" applyFill="1" applyBorder="1" applyAlignment="1">
      <alignment horizontal="left"/>
    </xf>
    <xf numFmtId="0" fontId="78" fillId="18" borderId="12" xfId="0" applyFont="1" applyFill="1" applyBorder="1" applyAlignment="1">
      <alignment horizontal="left"/>
    </xf>
    <xf numFmtId="0" fontId="79" fillId="17" borderId="0" xfId="0" applyFont="1" applyFill="1" applyAlignment="1">
      <alignment horizontal="left"/>
    </xf>
    <xf numFmtId="0" fontId="42" fillId="0" borderId="0" xfId="0" applyFont="1"/>
    <xf numFmtId="0" fontId="80" fillId="0" borderId="0" xfId="0" applyFont="1"/>
    <xf numFmtId="0" fontId="73" fillId="0" borderId="0" xfId="0" applyFont="1"/>
    <xf numFmtId="0" fontId="0" fillId="19" borderId="0" xfId="0" applyFill="1"/>
    <xf numFmtId="166" fontId="47" fillId="19" borderId="0" xfId="0" applyNumberFormat="1" applyFont="1" applyFill="1" applyAlignment="1">
      <alignment horizontal="right"/>
    </xf>
    <xf numFmtId="166" fontId="74" fillId="19" borderId="0" xfId="0" applyNumberFormat="1" applyFont="1" applyFill="1" applyAlignment="1">
      <alignment horizontal="right"/>
    </xf>
    <xf numFmtId="165" fontId="34" fillId="19" borderId="0" xfId="0" applyNumberFormat="1" applyFont="1" applyFill="1" applyAlignment="1">
      <alignment horizontal="right"/>
    </xf>
    <xf numFmtId="166" fontId="37" fillId="19" borderId="0" xfId="0" applyNumberFormat="1" applyFont="1" applyFill="1" applyAlignment="1">
      <alignment horizontal="right"/>
    </xf>
    <xf numFmtId="0" fontId="0" fillId="20" borderId="0" xfId="0" applyFill="1"/>
    <xf numFmtId="166" fontId="37" fillId="20" borderId="0" xfId="0" applyNumberFormat="1" applyFont="1" applyFill="1" applyAlignment="1">
      <alignment horizontal="right"/>
    </xf>
    <xf numFmtId="166" fontId="74" fillId="20" borderId="0" xfId="0" applyNumberFormat="1" applyFont="1" applyFill="1" applyAlignment="1">
      <alignment horizontal="right"/>
    </xf>
    <xf numFmtId="165" fontId="34" fillId="20" borderId="0" xfId="0" applyNumberFormat="1" applyFont="1" applyFill="1" applyAlignment="1">
      <alignment horizontal="right"/>
    </xf>
    <xf numFmtId="0" fontId="42" fillId="0" borderId="0" xfId="0" applyFont="1" applyAlignment="1">
      <alignment horizontal="left" indent="2"/>
    </xf>
    <xf numFmtId="0" fontId="57" fillId="0" borderId="0" xfId="0" applyFont="1" applyAlignment="1">
      <alignment horizontal="left" vertical="center"/>
    </xf>
    <xf numFmtId="166" fontId="84" fillId="19" borderId="7" xfId="0" applyNumberFormat="1" applyFont="1" applyFill="1" applyBorder="1" applyAlignment="1">
      <alignment horizontal="right" vertical="center"/>
    </xf>
    <xf numFmtId="165" fontId="85" fillId="19" borderId="7" xfId="1" applyNumberFormat="1" applyFont="1" applyFill="1" applyBorder="1" applyAlignment="1">
      <alignment horizontal="right" vertical="center"/>
    </xf>
    <xf numFmtId="168" fontId="86" fillId="19" borderId="0" xfId="0" applyNumberFormat="1" applyFont="1" applyFill="1" applyAlignment="1">
      <alignment horizontal="right" vertical="center"/>
    </xf>
    <xf numFmtId="168" fontId="86" fillId="20" borderId="0" xfId="0" applyNumberFormat="1" applyFont="1" applyFill="1" applyAlignment="1">
      <alignment horizontal="right" vertical="center"/>
    </xf>
    <xf numFmtId="0" fontId="90" fillId="22" borderId="17" xfId="0" applyFont="1" applyFill="1" applyBorder="1" applyAlignment="1">
      <alignment horizontal="left" vertical="center" indent="2"/>
    </xf>
    <xf numFmtId="0" fontId="91" fillId="24" borderId="20" xfId="0" applyFont="1" applyFill="1" applyBorder="1" applyAlignment="1">
      <alignment horizontal="left" vertical="center" indent="1"/>
    </xf>
    <xf numFmtId="0" fontId="92" fillId="23" borderId="17" xfId="0" applyFont="1" applyFill="1" applyBorder="1" applyAlignment="1">
      <alignment horizontal="left" vertical="center" indent="1"/>
    </xf>
    <xf numFmtId="0" fontId="94" fillId="0" borderId="0" xfId="0" applyFont="1"/>
    <xf numFmtId="166" fontId="53" fillId="20" borderId="21" xfId="0" applyNumberFormat="1" applyFont="1" applyFill="1" applyBorder="1" applyAlignment="1">
      <alignment horizontal="right" vertical="center"/>
    </xf>
    <xf numFmtId="0" fontId="92" fillId="23" borderId="0" xfId="0" applyFont="1" applyFill="1" applyAlignment="1">
      <alignment horizontal="left" vertical="center" indent="1"/>
    </xf>
    <xf numFmtId="0" fontId="42" fillId="0" borderId="0" xfId="0" applyFont="1" applyAlignment="1">
      <alignment horizontal="left"/>
    </xf>
    <xf numFmtId="0" fontId="95" fillId="0" borderId="0" xfId="0" applyFont="1"/>
    <xf numFmtId="166" fontId="95" fillId="19" borderId="0" xfId="0" applyNumberFormat="1" applyFont="1" applyFill="1" applyAlignment="1">
      <alignment horizontal="right"/>
    </xf>
    <xf numFmtId="166" fontId="95" fillId="20" borderId="0" xfId="0" applyNumberFormat="1" applyFont="1" applyFill="1" applyAlignment="1">
      <alignment horizontal="right"/>
    </xf>
    <xf numFmtId="0" fontId="96" fillId="20" borderId="0" xfId="0" applyFont="1" applyFill="1"/>
    <xf numFmtId="0" fontId="96" fillId="0" borderId="0" xfId="0" applyFont="1"/>
    <xf numFmtId="0" fontId="96" fillId="19" borderId="0" xfId="0" applyFont="1" applyFill="1"/>
    <xf numFmtId="0" fontId="97" fillId="0" borderId="0" xfId="0" applyFont="1"/>
    <xf numFmtId="165" fontId="97" fillId="19" borderId="0" xfId="0" applyNumberFormat="1" applyFont="1" applyFill="1" applyAlignment="1">
      <alignment horizontal="right"/>
    </xf>
    <xf numFmtId="165" fontId="97" fillId="20" borderId="0" xfId="0" applyNumberFormat="1" applyFont="1" applyFill="1" applyAlignment="1">
      <alignment horizontal="right"/>
    </xf>
    <xf numFmtId="167" fontId="97" fillId="19" borderId="0" xfId="0" applyNumberFormat="1" applyFont="1" applyFill="1" applyAlignment="1">
      <alignment horizontal="right"/>
    </xf>
    <xf numFmtId="167" fontId="97" fillId="20" borderId="0" xfId="0" applyNumberFormat="1" applyFont="1" applyFill="1" applyAlignment="1">
      <alignment horizontal="right"/>
    </xf>
    <xf numFmtId="0" fontId="88" fillId="0" borderId="0" xfId="0" applyFont="1" applyAlignment="1">
      <alignment horizontal="left" vertical="center" indent="2"/>
    </xf>
    <xf numFmtId="166" fontId="100" fillId="20" borderId="0" xfId="0" applyNumberFormat="1" applyFont="1" applyFill="1" applyAlignment="1">
      <alignment horizontal="right" vertical="center"/>
    </xf>
    <xf numFmtId="166" fontId="101" fillId="20" borderId="0" xfId="0" applyNumberFormat="1" applyFont="1" applyFill="1" applyAlignment="1">
      <alignment horizontal="right"/>
    </xf>
    <xf numFmtId="166" fontId="102" fillId="20" borderId="0" xfId="0" applyNumberFormat="1" applyFont="1" applyFill="1" applyAlignment="1">
      <alignment horizontal="right" vertical="center"/>
    </xf>
    <xf numFmtId="166" fontId="104" fillId="20" borderId="0" xfId="0" applyNumberFormat="1" applyFont="1" applyFill="1" applyAlignment="1">
      <alignment horizontal="right" vertical="center"/>
    </xf>
    <xf numFmtId="166" fontId="104" fillId="19" borderId="0" xfId="0" applyNumberFormat="1" applyFont="1" applyFill="1" applyAlignment="1">
      <alignment horizontal="right" vertical="center"/>
    </xf>
    <xf numFmtId="166" fontId="3" fillId="19" borderId="0" xfId="0" applyNumberFormat="1" applyFont="1" applyFill="1" applyAlignment="1">
      <alignment horizontal="right" vertical="center"/>
    </xf>
    <xf numFmtId="0" fontId="105" fillId="25" borderId="0" xfId="0" applyFont="1" applyFill="1"/>
    <xf numFmtId="0" fontId="0" fillId="25" borderId="0" xfId="0" applyFill="1"/>
    <xf numFmtId="0" fontId="106" fillId="0" borderId="0" xfId="0" applyFont="1"/>
    <xf numFmtId="166" fontId="101" fillId="0" borderId="0" xfId="0" applyNumberFormat="1" applyFont="1"/>
    <xf numFmtId="166" fontId="107" fillId="0" borderId="0" xfId="0" applyNumberFormat="1" applyFont="1"/>
    <xf numFmtId="0" fontId="108" fillId="0" borderId="0" xfId="0" applyFont="1"/>
    <xf numFmtId="165" fontId="101" fillId="0" borderId="0" xfId="0" applyNumberFormat="1" applyFont="1"/>
    <xf numFmtId="0" fontId="109" fillId="0" borderId="0" xfId="0" applyFont="1"/>
    <xf numFmtId="0" fontId="110" fillId="0" borderId="0" xfId="0" applyFont="1" applyAlignment="1">
      <alignment horizontal="left" vertical="center"/>
    </xf>
    <xf numFmtId="165" fontId="104" fillId="14" borderId="1" xfId="0" applyNumberFormat="1" applyFont="1" applyFill="1" applyBorder="1" applyAlignment="1">
      <alignment horizontal="center" vertical="center"/>
    </xf>
    <xf numFmtId="165" fontId="104" fillId="3" borderId="1" xfId="0" applyNumberFormat="1" applyFont="1" applyFill="1" applyBorder="1" applyAlignment="1">
      <alignment horizontal="center" vertical="center"/>
    </xf>
    <xf numFmtId="165" fontId="104" fillId="15" borderId="1" xfId="0" applyNumberFormat="1" applyFont="1" applyFill="1" applyBorder="1" applyAlignment="1">
      <alignment horizontal="center" vertical="center"/>
    </xf>
    <xf numFmtId="165" fontId="111" fillId="14" borderId="1" xfId="0" applyNumberFormat="1" applyFont="1" applyFill="1" applyBorder="1" applyAlignment="1">
      <alignment horizontal="center" vertical="center"/>
    </xf>
    <xf numFmtId="165" fontId="111" fillId="3" borderId="1" xfId="0" applyNumberFormat="1" applyFont="1" applyFill="1" applyBorder="1" applyAlignment="1">
      <alignment horizontal="center" vertical="center"/>
    </xf>
    <xf numFmtId="165" fontId="111" fillId="15" borderId="1" xfId="0" applyNumberFormat="1" applyFont="1" applyFill="1" applyBorder="1" applyAlignment="1">
      <alignment horizontal="center" vertical="center"/>
    </xf>
    <xf numFmtId="0" fontId="107" fillId="18" borderId="12" xfId="0" applyFont="1" applyFill="1" applyBorder="1" applyAlignment="1">
      <alignment horizontal="left"/>
    </xf>
    <xf numFmtId="166" fontId="104" fillId="14" borderId="23" xfId="0" applyNumberFormat="1" applyFont="1" applyFill="1" applyBorder="1" applyAlignment="1">
      <alignment horizontal="center" vertical="center"/>
    </xf>
    <xf numFmtId="166" fontId="104" fillId="3" borderId="23" xfId="0" applyNumberFormat="1" applyFont="1" applyFill="1" applyBorder="1" applyAlignment="1">
      <alignment horizontal="center" vertical="center"/>
    </xf>
    <xf numFmtId="166" fontId="104" fillId="15" borderId="23" xfId="0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166" fontId="98" fillId="0" borderId="0" xfId="0" applyNumberFormat="1" applyFont="1"/>
    <xf numFmtId="0" fontId="6" fillId="0" borderId="0" xfId="0" applyFont="1" applyAlignment="1">
      <alignment horizontal="left" vertical="center"/>
    </xf>
    <xf numFmtId="0" fontId="106" fillId="0" borderId="0" xfId="0" applyFont="1" applyAlignment="1">
      <alignment horizontal="center"/>
    </xf>
    <xf numFmtId="165" fontId="114" fillId="20" borderId="0" xfId="0" applyNumberFormat="1" applyFont="1" applyFill="1" applyAlignment="1">
      <alignment horizontal="right" vertical="center"/>
    </xf>
    <xf numFmtId="166" fontId="115" fillId="0" borderId="0" xfId="0" applyNumberFormat="1" applyFont="1"/>
    <xf numFmtId="166" fontId="6" fillId="20" borderId="4" xfId="0" applyNumberFormat="1" applyFont="1" applyFill="1" applyBorder="1" applyAlignment="1">
      <alignment horizontal="right" vertical="center"/>
    </xf>
    <xf numFmtId="166" fontId="6" fillId="20" borderId="7" xfId="0" applyNumberFormat="1" applyFont="1" applyFill="1" applyBorder="1" applyAlignment="1">
      <alignment horizontal="right" vertical="center"/>
    </xf>
    <xf numFmtId="0" fontId="106" fillId="18" borderId="12" xfId="0" applyFont="1" applyFill="1" applyBorder="1" applyAlignment="1">
      <alignment horizontal="center"/>
    </xf>
    <xf numFmtId="166" fontId="101" fillId="18" borderId="12" xfId="0" applyNumberFormat="1" applyFont="1" applyFill="1" applyBorder="1"/>
    <xf numFmtId="176" fontId="101" fillId="18" borderId="12" xfId="0" applyNumberFormat="1" applyFont="1" applyFill="1" applyBorder="1"/>
    <xf numFmtId="166" fontId="101" fillId="7" borderId="0" xfId="0" applyNumberFormat="1" applyFont="1" applyFill="1"/>
    <xf numFmtId="165" fontId="101" fillId="7" borderId="0" xfId="0" applyNumberFormat="1" applyFont="1" applyFill="1"/>
    <xf numFmtId="0" fontId="106" fillId="16" borderId="0" xfId="0" applyFont="1" applyFill="1" applyAlignment="1">
      <alignment horizontal="center"/>
    </xf>
    <xf numFmtId="166" fontId="101" fillId="16" borderId="0" xfId="0" applyNumberFormat="1" applyFont="1" applyFill="1"/>
    <xf numFmtId="165" fontId="98" fillId="16" borderId="0" xfId="0" applyNumberFormat="1" applyFont="1" applyFill="1"/>
    <xf numFmtId="166" fontId="107" fillId="16" borderId="0" xfId="0" applyNumberFormat="1" applyFont="1" applyFill="1"/>
    <xf numFmtId="169" fontId="101" fillId="16" borderId="0" xfId="0" applyNumberFormat="1" applyFont="1" applyFill="1"/>
    <xf numFmtId="165" fontId="101" fillId="16" borderId="0" xfId="0" applyNumberFormat="1" applyFont="1" applyFill="1"/>
    <xf numFmtId="0" fontId="89" fillId="7" borderId="0" xfId="0" applyFont="1" applyFill="1" applyAlignment="1">
      <alignment horizontal="left" vertical="center" indent="1"/>
    </xf>
    <xf numFmtId="0" fontId="116" fillId="18" borderId="0" xfId="0" applyFont="1" applyFill="1" applyAlignment="1">
      <alignment horizontal="left"/>
    </xf>
    <xf numFmtId="0" fontId="117" fillId="24" borderId="20" xfId="0" applyFont="1" applyFill="1" applyBorder="1" applyAlignment="1">
      <alignment horizontal="center" vertical="center"/>
    </xf>
    <xf numFmtId="166" fontId="119" fillId="20" borderId="0" xfId="0" applyNumberFormat="1" applyFont="1" applyFill="1" applyAlignment="1">
      <alignment horizontal="right"/>
    </xf>
    <xf numFmtId="166" fontId="120" fillId="19" borderId="22" xfId="0" applyNumberFormat="1" applyFont="1" applyFill="1" applyBorder="1" applyAlignment="1">
      <alignment horizontal="right" vertical="center"/>
    </xf>
    <xf numFmtId="166" fontId="120" fillId="20" borderId="22" xfId="0" applyNumberFormat="1" applyFont="1" applyFill="1" applyBorder="1" applyAlignment="1">
      <alignment horizontal="right" vertical="center"/>
    </xf>
    <xf numFmtId="166" fontId="120" fillId="19" borderId="0" xfId="0" applyNumberFormat="1" applyFont="1" applyFill="1" applyAlignment="1">
      <alignment horizontal="right" vertical="center"/>
    </xf>
    <xf numFmtId="166" fontId="120" fillId="20" borderId="0" xfId="0" applyNumberFormat="1" applyFont="1" applyFill="1" applyAlignment="1">
      <alignment horizontal="right" vertical="center"/>
    </xf>
    <xf numFmtId="166" fontId="119" fillId="20" borderId="0" xfId="0" applyNumberFormat="1" applyFont="1" applyFill="1" applyAlignment="1">
      <alignment horizontal="right" vertical="center"/>
    </xf>
    <xf numFmtId="166" fontId="121" fillId="20" borderId="0" xfId="0" applyNumberFormat="1" applyFont="1" applyFill="1" applyAlignment="1">
      <alignment horizontal="right"/>
    </xf>
    <xf numFmtId="175" fontId="120" fillId="23" borderId="0" xfId="0" applyNumberFormat="1" applyFont="1" applyFill="1" applyAlignment="1">
      <alignment horizontal="right" vertical="center" indent="1"/>
    </xf>
    <xf numFmtId="166" fontId="115" fillId="22" borderId="18" xfId="0" applyNumberFormat="1" applyFont="1" applyFill="1" applyBorder="1" applyAlignment="1">
      <alignment horizontal="right" vertical="center" indent="1"/>
    </xf>
    <xf numFmtId="166" fontId="115" fillId="22" borderId="19" xfId="0" applyNumberFormat="1" applyFont="1" applyFill="1" applyBorder="1" applyAlignment="1">
      <alignment horizontal="right" vertical="center" indent="1"/>
    </xf>
    <xf numFmtId="2" fontId="115" fillId="22" borderId="18" xfId="0" applyNumberFormat="1" applyFont="1" applyFill="1" applyBorder="1" applyAlignment="1">
      <alignment horizontal="right" vertical="center" indent="1"/>
    </xf>
    <xf numFmtId="2" fontId="115" fillId="22" borderId="19" xfId="0" applyNumberFormat="1" applyFont="1" applyFill="1" applyBorder="1" applyAlignment="1">
      <alignment horizontal="right" vertical="center" indent="1"/>
    </xf>
    <xf numFmtId="0" fontId="122" fillId="0" borderId="0" xfId="0" applyFont="1" applyAlignment="1">
      <alignment horizontal="center"/>
    </xf>
    <xf numFmtId="165" fontId="98" fillId="0" borderId="0" xfId="0" applyNumberFormat="1" applyFont="1"/>
    <xf numFmtId="166" fontId="96" fillId="20" borderId="0" xfId="0" applyNumberFormat="1" applyFont="1" applyFill="1"/>
    <xf numFmtId="177" fontId="98" fillId="0" borderId="0" xfId="0" applyNumberFormat="1" applyFont="1"/>
    <xf numFmtId="177" fontId="101" fillId="0" borderId="0" xfId="0" applyNumberFormat="1" applyFont="1"/>
    <xf numFmtId="177" fontId="123" fillId="19" borderId="0" xfId="0" applyNumberFormat="1" applyFont="1" applyFill="1" applyAlignment="1">
      <alignment horizontal="right" vertical="center"/>
    </xf>
    <xf numFmtId="177" fontId="103" fillId="20" borderId="0" xfId="0" applyNumberFormat="1" applyFont="1" applyFill="1" applyAlignment="1">
      <alignment horizontal="right" vertical="center"/>
    </xf>
    <xf numFmtId="177" fontId="0" fillId="0" borderId="0" xfId="0" applyNumberFormat="1"/>
    <xf numFmtId="177" fontId="4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100" fillId="0" borderId="1" xfId="0" applyNumberFormat="1" applyFont="1" applyBorder="1" applyAlignment="1">
      <alignment horizontal="center" vertical="center"/>
    </xf>
    <xf numFmtId="177" fontId="103" fillId="0" borderId="1" xfId="0" applyNumberFormat="1" applyFont="1" applyBorder="1" applyAlignment="1">
      <alignment horizontal="center" vertical="center"/>
    </xf>
    <xf numFmtId="0" fontId="124" fillId="17" borderId="0" xfId="0" applyFont="1" applyFill="1"/>
    <xf numFmtId="0" fontId="124" fillId="17" borderId="0" xfId="0" applyFont="1" applyFill="1" applyAlignment="1">
      <alignment horizontal="left"/>
    </xf>
    <xf numFmtId="0" fontId="125" fillId="0" borderId="0" xfId="0" applyFont="1"/>
    <xf numFmtId="0" fontId="106" fillId="26" borderId="0" xfId="0" applyFont="1" applyFill="1"/>
    <xf numFmtId="0" fontId="106" fillId="26" borderId="0" xfId="0" applyFont="1" applyFill="1" applyAlignment="1">
      <alignment horizontal="center"/>
    </xf>
    <xf numFmtId="0" fontId="122" fillId="26" borderId="0" xfId="0" applyFont="1" applyFill="1" applyAlignment="1">
      <alignment horizontal="center"/>
    </xf>
    <xf numFmtId="0" fontId="126" fillId="0" borderId="0" xfId="0" applyFont="1" applyAlignment="1">
      <alignment horizontal="center"/>
    </xf>
    <xf numFmtId="0" fontId="132" fillId="27" borderId="0" xfId="0" applyFont="1" applyFill="1"/>
    <xf numFmtId="166" fontId="133" fillId="19" borderId="0" xfId="0" applyNumberFormat="1" applyFont="1" applyFill="1" applyAlignment="1">
      <alignment horizontal="right"/>
    </xf>
    <xf numFmtId="166" fontId="133" fillId="19" borderId="0" xfId="0" applyNumberFormat="1" applyFont="1" applyFill="1" applyAlignment="1">
      <alignment horizontal="right" vertical="center"/>
    </xf>
    <xf numFmtId="168" fontId="134" fillId="19" borderId="0" xfId="0" applyNumberFormat="1" applyFont="1" applyFill="1" applyAlignment="1">
      <alignment horizontal="right" vertical="center"/>
    </xf>
    <xf numFmtId="165" fontId="135" fillId="20" borderId="0" xfId="0" applyNumberFormat="1" applyFont="1" applyFill="1" applyAlignment="1">
      <alignment horizontal="center" vertical="center"/>
    </xf>
    <xf numFmtId="165" fontId="136" fillId="20" borderId="0" xfId="0" applyNumberFormat="1" applyFont="1" applyFill="1" applyAlignment="1">
      <alignment horizontal="center" vertical="center"/>
    </xf>
    <xf numFmtId="166" fontId="134" fillId="19" borderId="0" xfId="0" applyNumberFormat="1" applyFont="1" applyFill="1" applyAlignment="1">
      <alignment horizontal="right" vertical="center"/>
    </xf>
    <xf numFmtId="166" fontId="136" fillId="20" borderId="0" xfId="0" applyNumberFormat="1" applyFont="1" applyFill="1" applyAlignment="1">
      <alignment horizontal="right" vertical="center"/>
    </xf>
    <xf numFmtId="169" fontId="134" fillId="19" borderId="0" xfId="0" applyNumberFormat="1" applyFont="1" applyFill="1" applyAlignment="1">
      <alignment horizontal="right" vertical="center"/>
    </xf>
    <xf numFmtId="169" fontId="118" fillId="20" borderId="0" xfId="0" applyNumberFormat="1" applyFont="1" applyFill="1" applyAlignment="1">
      <alignment horizontal="right" vertical="center"/>
    </xf>
    <xf numFmtId="10" fontId="94" fillId="0" borderId="0" xfId="0" applyNumberFormat="1" applyFont="1"/>
    <xf numFmtId="10" fontId="133" fillId="20" borderId="0" xfId="0" applyNumberFormat="1" applyFont="1" applyFill="1" applyAlignment="1">
      <alignment horizontal="right" vertical="center"/>
    </xf>
    <xf numFmtId="10" fontId="133" fillId="0" borderId="0" xfId="0" applyNumberFormat="1" applyFont="1"/>
    <xf numFmtId="170" fontId="134" fillId="19" borderId="0" xfId="0" applyNumberFormat="1" applyFont="1" applyFill="1" applyAlignment="1">
      <alignment horizontal="right" vertical="center"/>
    </xf>
    <xf numFmtId="165" fontId="136" fillId="20" borderId="0" xfId="0" applyNumberFormat="1" applyFont="1" applyFill="1" applyAlignment="1">
      <alignment horizontal="right" vertical="center"/>
    </xf>
    <xf numFmtId="10" fontId="136" fillId="20" borderId="0" xfId="0" applyNumberFormat="1" applyFont="1" applyFill="1" applyAlignment="1">
      <alignment horizontal="right" vertical="center"/>
    </xf>
    <xf numFmtId="2" fontId="136" fillId="20" borderId="0" xfId="0" applyNumberFormat="1" applyFont="1" applyFill="1" applyAlignment="1">
      <alignment horizontal="right" vertical="center"/>
    </xf>
    <xf numFmtId="10" fontId="115" fillId="0" borderId="0" xfId="0" applyNumberFormat="1" applyFont="1" applyAlignment="1">
      <alignment horizontal="right" vertical="center"/>
    </xf>
    <xf numFmtId="10" fontId="118" fillId="20" borderId="0" xfId="0" applyNumberFormat="1" applyFont="1" applyFill="1" applyAlignment="1">
      <alignment horizontal="right" vertical="center"/>
    </xf>
    <xf numFmtId="165" fontId="118" fillId="20" borderId="0" xfId="0" applyNumberFormat="1" applyFont="1" applyFill="1" applyAlignment="1">
      <alignment horizontal="right" vertical="center"/>
    </xf>
    <xf numFmtId="165" fontId="115" fillId="0" borderId="0" xfId="0" applyNumberFormat="1" applyFont="1" applyAlignment="1">
      <alignment horizontal="right" vertical="center"/>
    </xf>
    <xf numFmtId="165" fontId="45" fillId="18" borderId="0" xfId="0" applyNumberFormat="1" applyFont="1" applyFill="1" applyAlignment="1">
      <alignment horizontal="right"/>
    </xf>
    <xf numFmtId="3" fontId="137" fillId="18" borderId="0" xfId="0" applyNumberFormat="1" applyFont="1" applyFill="1" applyAlignment="1">
      <alignment horizontal="left"/>
    </xf>
    <xf numFmtId="178" fontId="43" fillId="18" borderId="0" xfId="0" applyNumberFormat="1" applyFont="1" applyFill="1" applyAlignment="1">
      <alignment horizontal="right"/>
    </xf>
    <xf numFmtId="178" fontId="45" fillId="18" borderId="0" xfId="0" applyNumberFormat="1" applyFont="1" applyFill="1" applyAlignment="1">
      <alignment horizontal="right"/>
    </xf>
    <xf numFmtId="0" fontId="18" fillId="17" borderId="0" xfId="0" applyFont="1" applyFill="1" applyAlignment="1">
      <alignment horizontal="left" vertical="center" indent="1"/>
    </xf>
    <xf numFmtId="0" fontId="17" fillId="0" borderId="0" xfId="0" applyFont="1"/>
    <xf numFmtId="0" fontId="39" fillId="18" borderId="0" xfId="0" applyFont="1" applyFill="1" applyAlignment="1">
      <alignment horizontal="center" vertical="center"/>
    </xf>
    <xf numFmtId="0" fontId="41" fillId="18" borderId="0" xfId="0" applyFont="1" applyFill="1" applyAlignment="1">
      <alignment horizontal="center" vertical="center"/>
    </xf>
    <xf numFmtId="0" fontId="41" fillId="18" borderId="15" xfId="0" applyFont="1" applyFill="1" applyBorder="1" applyAlignment="1">
      <alignment horizontal="center" vertical="center"/>
    </xf>
    <xf numFmtId="0" fontId="39" fillId="18" borderId="15" xfId="0" applyFont="1" applyFill="1" applyBorder="1" applyAlignment="1">
      <alignment horizontal="center" vertical="center"/>
    </xf>
    <xf numFmtId="0" fontId="32" fillId="18" borderId="0" xfId="0" applyFont="1" applyFill="1" applyAlignment="1">
      <alignment horizontal="center" vertical="center"/>
    </xf>
    <xf numFmtId="0" fontId="52" fillId="18" borderId="0" xfId="0" applyFont="1" applyFill="1"/>
    <xf numFmtId="0" fontId="50" fillId="17" borderId="0" xfId="0" applyFont="1" applyFill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51" fillId="17" borderId="0" xfId="0" applyFont="1" applyFill="1" applyAlignment="1">
      <alignment horizontal="left" vertical="center"/>
    </xf>
    <xf numFmtId="0" fontId="15" fillId="17" borderId="0" xfId="0" applyFont="1" applyFill="1" applyAlignment="1">
      <alignment horizontal="left" vertical="center"/>
    </xf>
    <xf numFmtId="0" fontId="58" fillId="17" borderId="0" xfId="0" applyFont="1" applyFill="1" applyAlignment="1">
      <alignment horizontal="left" vertical="center" indent="1"/>
    </xf>
    <xf numFmtId="0" fontId="12" fillId="17" borderId="0" xfId="0" applyFont="1" applyFill="1" applyAlignment="1">
      <alignment horizontal="left" vertical="center" indent="1"/>
    </xf>
    <xf numFmtId="0" fontId="12" fillId="17" borderId="0" xfId="0" applyFont="1" applyFill="1" applyAlignment="1">
      <alignment horizontal="center" vertical="center" indent="1"/>
    </xf>
    <xf numFmtId="0" fontId="93" fillId="24" borderId="0" xfId="0" applyFont="1" applyFill="1" applyAlignment="1">
      <alignment horizontal="left" vertical="center"/>
    </xf>
    <xf numFmtId="0" fontId="0" fillId="0" borderId="0" xfId="0"/>
    <xf numFmtId="0" fontId="11" fillId="0" borderId="0" xfId="0" applyFont="1"/>
    <xf numFmtId="0" fontId="131" fillId="17" borderId="0" xfId="0" applyFont="1" applyFill="1" applyAlignment="1">
      <alignment horizontal="left" vertical="center" indent="1"/>
    </xf>
    <xf numFmtId="0" fontId="1" fillId="17" borderId="0" xfId="0" applyFont="1" applyFill="1" applyAlignment="1">
      <alignment horizontal="left" vertical="center" indent="1"/>
    </xf>
    <xf numFmtId="0" fontId="53" fillId="7" borderId="0" xfId="0" applyFont="1" applyFill="1" applyAlignment="1">
      <alignment horizontal="left" vertical="center"/>
    </xf>
    <xf numFmtId="0" fontId="57" fillId="7" borderId="0" xfId="0" applyFont="1" applyFill="1" applyAlignment="1">
      <alignment horizontal="left" vertical="center"/>
    </xf>
    <xf numFmtId="0" fontId="66" fillId="7" borderId="0" xfId="0" applyFont="1" applyFill="1" applyAlignment="1">
      <alignment horizontal="left" vertical="center"/>
    </xf>
    <xf numFmtId="0" fontId="53" fillId="8" borderId="0" xfId="0" applyFont="1" applyFill="1" applyAlignment="1">
      <alignment horizontal="left" vertical="center"/>
    </xf>
    <xf numFmtId="0" fontId="57" fillId="8" borderId="0" xfId="0" applyFont="1" applyFill="1" applyAlignment="1">
      <alignment horizontal="left" vertical="center"/>
    </xf>
    <xf numFmtId="0" fontId="66" fillId="8" borderId="0" xfId="0" applyFont="1" applyFill="1" applyAlignment="1">
      <alignment horizontal="left" vertical="center"/>
    </xf>
    <xf numFmtId="0" fontId="12" fillId="21" borderId="5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left" indent="1"/>
    </xf>
    <xf numFmtId="0" fontId="11" fillId="0" borderId="0" xfId="0" applyFont="1" applyAlignment="1">
      <alignment horizontal="left" indent="1"/>
    </xf>
    <xf numFmtId="0" fontId="1" fillId="11" borderId="0" xfId="0" applyFont="1" applyFill="1" applyAlignment="1">
      <alignment horizontal="left" vertical="center" indent="1"/>
    </xf>
    <xf numFmtId="0" fontId="53" fillId="0" borderId="0" xfId="0" applyFont="1" applyAlignment="1">
      <alignment horizontal="left" indent="1"/>
    </xf>
    <xf numFmtId="0" fontId="127" fillId="0" borderId="0" xfId="0" applyFont="1" applyAlignment="1">
      <alignment horizontal="center" indent="1"/>
    </xf>
    <xf numFmtId="0" fontId="20" fillId="0" borderId="0" xfId="0" applyFont="1" applyAlignment="1">
      <alignment horizontal="left" indent="1"/>
    </xf>
    <xf numFmtId="0" fontId="128" fillId="0" borderId="0" xfId="0" applyFont="1" applyAlignment="1">
      <alignment horizontal="center" indent="1"/>
    </xf>
    <xf numFmtId="0" fontId="129" fillId="0" borderId="0" xfId="0" applyFont="1" applyAlignment="1">
      <alignment horizontal="center" indent="1"/>
    </xf>
    <xf numFmtId="0" fontId="130" fillId="0" borderId="0" xfId="0" applyFont="1" applyAlignment="1">
      <alignment horizontal="left" indent="1"/>
    </xf>
    <xf numFmtId="0" fontId="67" fillId="0" borderId="0" xfId="0" applyFont="1"/>
    <xf numFmtId="0" fontId="9" fillId="17" borderId="0" xfId="0" applyFont="1" applyFill="1" applyAlignment="1">
      <alignment horizontal="left" vertical="center"/>
    </xf>
    <xf numFmtId="0" fontId="58" fillId="1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 indent="1"/>
    </xf>
    <xf numFmtId="0" fontId="68" fillId="8" borderId="2" xfId="0" applyFont="1" applyFill="1" applyBorder="1" applyAlignment="1">
      <alignment horizontal="center" vertical="center"/>
    </xf>
    <xf numFmtId="0" fontId="69" fillId="8" borderId="3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 vertical="top" indent="1"/>
    </xf>
    <xf numFmtId="0" fontId="2" fillId="17" borderId="0" xfId="0" applyFont="1" applyFill="1" applyAlignment="1">
      <alignment horizontal="left" vertical="center" indent="1"/>
    </xf>
    <xf numFmtId="0" fontId="12" fillId="21" borderId="0" xfId="0" applyFont="1" applyFill="1" applyAlignment="1">
      <alignment horizontal="left" vertical="center" indent="1"/>
    </xf>
    <xf numFmtId="0" fontId="57" fillId="7" borderId="0" xfId="0" applyFont="1" applyFill="1" applyAlignment="1">
      <alignment horizontal="left" vertical="center" indent="1"/>
    </xf>
    <xf numFmtId="0" fontId="57" fillId="8" borderId="0" xfId="0" applyFont="1" applyFill="1" applyAlignment="1">
      <alignment horizontal="left" vertical="center" indent="1"/>
    </xf>
    <xf numFmtId="0" fontId="53" fillId="7" borderId="4" xfId="0" applyFont="1" applyFill="1" applyBorder="1" applyAlignment="1">
      <alignment horizontal="left" vertical="center" indent="1"/>
    </xf>
    <xf numFmtId="0" fontId="70" fillId="17" borderId="0" xfId="0" applyFont="1" applyFill="1" applyAlignment="1">
      <alignment horizontal="left" vertical="center"/>
    </xf>
    <xf numFmtId="171" fontId="98" fillId="0" borderId="0" xfId="0" applyNumberFormat="1" applyFont="1"/>
    <xf numFmtId="171" fontId="101" fillId="0" borderId="0" xfId="0" applyNumberFormat="1" applyFont="1"/>
    <xf numFmtId="171" fontId="0" fillId="0" borderId="0" xfId="0" applyNumberFormat="1"/>
  </cellXfs>
  <cellStyles count="2">
    <cellStyle name="Normal" xfId="0" builtinId="0"/>
    <cellStyle name="Percent" xfId="1" builtinId="5"/>
  </cellStyles>
  <dxfs count="3">
    <dxf>
      <fill>
        <patternFill>
          <bgColor rgb="FFE2F3E5"/>
        </patternFill>
      </fill>
    </dxf>
    <dxf>
      <fill>
        <patternFill>
          <bgColor rgb="FFE5EBF5"/>
        </patternFill>
      </fill>
    </dxf>
    <dxf>
      <fill>
        <patternFill>
          <bgColor rgb="FFFCE9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D6E4F5"/>
      <rgbColor rgb="FF0000FF"/>
      <rgbColor rgb="FFF5F5F7"/>
      <rgbColor rgb="FFF0F4FA"/>
      <rgbColor rgb="FF4E7FBA"/>
      <rgbColor rgb="FFFAFBFC"/>
      <rgbColor rgb="FF008000"/>
      <rgbColor rgb="FF0B1426"/>
      <rgbColor rgb="FF436DA1"/>
      <rgbColor rgb="FF40699B"/>
      <rgbColor rgb="FF107C41"/>
      <rgbColor rgb="FFB8C7DD"/>
      <rgbColor rgb="FF666666"/>
      <rgbColor rgb="FF8BA4CC"/>
      <rgbColor rgb="FF7030A0"/>
      <rgbColor rgb="FFFFF8E7"/>
      <rgbColor rgb="FFEAF2FB"/>
      <rgbColor rgb="FF3E6595"/>
      <rgbColor rgb="FF7E9BC7"/>
      <rgbColor rgb="FF0066CC"/>
      <rgbColor rgb="FFC5CFD9"/>
      <rgbColor rgb="FF4775AB"/>
      <rgbColor rgb="FFF5F7FB"/>
      <rgbColor rgb="FFEEF2F7"/>
      <rgbColor rgb="FF4C7CB5"/>
      <rgbColor rgb="FF4571A6"/>
      <rgbColor rgb="FFFAFBFD"/>
      <rgbColor rgb="FF0F9F9D"/>
      <rgbColor rgb="FF4978B1"/>
      <rgbColor rgb="FF5B86BF"/>
      <rgbColor rgb="FFE5EBF5"/>
      <rgbColor rgb="FFE2F3E5"/>
      <rgbColor rgb="FFFCE9E9"/>
      <rgbColor rgb="FFD0D0D5"/>
      <rgbColor rgb="FFF5A79C"/>
      <rgbColor rgb="FFB3B3B3"/>
      <rgbColor rgb="FFFFE5B0"/>
      <rgbColor rgb="FF2E5BFF"/>
      <rgbColor rgb="FF6E91C3"/>
      <rgbColor rgb="FF9CE39C"/>
      <rgbColor rgb="FFD9D9D9"/>
      <rgbColor rgb="FFD8DEE9"/>
      <rgbColor rgb="FFE07A1F"/>
      <rgbColor rgb="FF5A6478"/>
      <rgbColor rgb="FF9BA3B4"/>
      <rgbColor rgb="FF0A2342"/>
      <rgbColor rgb="FF0FA958"/>
      <rgbColor rgb="FF061A33"/>
      <rgbColor rgb="FF1A2B4A"/>
      <rgbColor rgb="FFC8102E"/>
      <rgbColor rgb="FF3B618E"/>
      <rgbColor rgb="FF385C8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Dashboard!$B$93</c:f>
              <c:strCache>
                <c:ptCount val="1"/>
                <c:pt idx="0">
                  <c:v>Products ($B)</c:v>
                </c:pt>
              </c:strCache>
            </c:strRef>
          </c:tx>
          <c:spPr>
            <a:solidFill>
              <a:srgbClr val="1D1D1F"/>
            </a:solidFill>
            <a:ln>
              <a:noFill/>
            </a:ln>
            <a:effectLst/>
          </c:spPr>
          <c:invertIfNegative val="0"/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Dashboard!$C$93:$K$93</c:f>
              <c:numCache>
                <c:formatCode>General</c:formatCode>
                <c:ptCount val="9"/>
                <c:pt idx="0">
                  <c:v>297.392</c:v>
                </c:pt>
                <c:pt idx="1">
                  <c:v>316.19900000000001</c:v>
                </c:pt>
                <c:pt idx="2">
                  <c:v>298.08499999999998</c:v>
                </c:pt>
                <c:pt idx="3">
                  <c:v>294.86599999999999</c:v>
                </c:pt>
                <c:pt idx="4">
                  <c:v>307.00299999999999</c:v>
                </c:pt>
                <c:pt idx="5">
                  <c:v>325.81711000000001</c:v>
                </c:pt>
                <c:pt idx="6">
                  <c:v>345.79998790000002</c:v>
                </c:pt>
                <c:pt idx="7">
                  <c:v>367.02537382300005</c:v>
                </c:pt>
                <c:pt idx="8" formatCode="0.0">
                  <c:v>389.57174244055005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C-4F83-B04F-59D8A844D2BB}"/>
            </c:ext>
          </c:extLst>
        </c:ser>
        <c:ser>
          <c:idx val="1"/>
          <c:order val="1"/>
          <c:tx>
            <c:strRef>
              <c:f>Dashboard!$B$94</c:f>
              <c:strCache>
                <c:ptCount val="1"/>
                <c:pt idx="0">
                  <c:v>Services ($B)</c:v>
                </c:pt>
              </c:strCache>
            </c:strRef>
          </c:tx>
          <c:spPr>
            <a:solidFill>
              <a:srgbClr val="0071E3"/>
            </a:solidFill>
            <a:ln>
              <a:noFill/>
            </a:ln>
            <a:effectLst/>
          </c:spPr>
          <c:invertIfNegative val="0"/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Dashboard!$C$94:$K$94</c:f>
              <c:numCache>
                <c:formatCode>General</c:formatCode>
                <c:ptCount val="9"/>
                <c:pt idx="0">
                  <c:v>68.424999999999997</c:v>
                </c:pt>
                <c:pt idx="1">
                  <c:v>78.129000000000005</c:v>
                </c:pt>
                <c:pt idx="2">
                  <c:v>85.2</c:v>
                </c:pt>
                <c:pt idx="3">
                  <c:v>96.168999999999997</c:v>
                </c:pt>
                <c:pt idx="4">
                  <c:v>109.158</c:v>
                </c:pt>
                <c:pt idx="5">
                  <c:v>124.44012000000001</c:v>
                </c:pt>
                <c:pt idx="6">
                  <c:v>141.86173680000002</c:v>
                </c:pt>
                <c:pt idx="7">
                  <c:v>161.72237995200004</c:v>
                </c:pt>
                <c:pt idx="8" formatCode="0.0">
                  <c:v>184.36351314528008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C-4F83-B04F-59D8A844D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8623728"/>
        <c:axId val="1840808256"/>
      </c:barChart>
      <c:lineChart>
        <c:grouping val="standard"/>
        <c:varyColors val="0"/>
        <c:ser>
          <c:idx val="2"/>
          <c:order val="2"/>
          <c:tx>
            <c:strRef>
              <c:f>Dashboard!$B$95</c:f>
              <c:strCache>
                <c:ptCount val="1"/>
                <c:pt idx="0">
                  <c:v>Growth %</c:v>
                </c:pt>
              </c:strCache>
            </c:strRef>
          </c:tx>
          <c:spPr>
            <a:ln w="31750" cap="rnd">
              <a:solidFill>
                <a:srgbClr val="FF9F0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9F0A"/>
              </a:solidFill>
              <a:ln w="9525">
                <a:solidFill>
                  <a:srgbClr val="FF9F0A"/>
                </a:solidFill>
                <a:prstDash val="solid"/>
              </a:ln>
              <a:effectLst/>
            </c:spPr>
          </c:marker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Dashboard!$C$95:$K$95</c:f>
              <c:numCache>
                <c:formatCode>General</c:formatCode>
                <c:ptCount val="9"/>
                <c:pt idx="1">
                  <c:v>7.7937876041846099E-2</c:v>
                </c:pt>
                <c:pt idx="2">
                  <c:v>-2.800460530319937E-2</c:v>
                </c:pt>
                <c:pt idx="3">
                  <c:v>2.021994077514111E-2</c:v>
                </c:pt>
                <c:pt idx="4">
                  <c:v>6.425511782832749E-2</c:v>
                </c:pt>
                <c:pt idx="5">
                  <c:v>8.1930382712459782E-2</c:v>
                </c:pt>
                <c:pt idx="6">
                  <c:v>8.3073612610285119E-2</c:v>
                </c:pt>
                <c:pt idx="7">
                  <c:v>8.4251084294703293E-2</c:v>
                </c:pt>
                <c:pt idx="8" formatCode="0.0%">
                  <c:v>8.5461359387748681E-2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3C-4F83-B04F-59D8A844D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653888"/>
        <c:axId val="1717977632"/>
      </c:lineChart>
      <c:catAx>
        <c:axId val="18986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40808256"/>
        <c:crosses val="autoZero"/>
        <c:auto val="1"/>
        <c:lblAlgn val="ctr"/>
        <c:lblOffset val="100"/>
        <c:noMultiLvlLbl val="0"/>
      </c:catAx>
      <c:valAx>
        <c:axId val="18408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98623728"/>
        <c:crosses val="autoZero"/>
        <c:crossBetween val="between"/>
      </c:valAx>
      <c:valAx>
        <c:axId val="171797763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98653888"/>
        <c:crosses val="max"/>
        <c:crossBetween val="between"/>
      </c:valAx>
      <c:catAx>
        <c:axId val="1898653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797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Dashboard!$C$97</c:f>
              <c:strCache>
                <c:ptCount val="1"/>
                <c:pt idx="0">
                  <c:v>FY25A ($B)</c:v>
                </c:pt>
              </c:strCache>
            </c:strRef>
          </c:tx>
          <c:dPt>
            <c:idx val="0"/>
            <c:bubble3D val="0"/>
            <c:spPr>
              <a:solidFill>
                <a:srgbClr val="1D1D1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7D-4A39-8882-688DB0133E5C}"/>
              </c:ext>
            </c:extLst>
          </c:dPt>
          <c:dPt>
            <c:idx val="1"/>
            <c:bubble3D val="0"/>
            <c:spPr>
              <a:solidFill>
                <a:srgbClr val="0071E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47D-4A39-8882-688DB0133E5C}"/>
              </c:ext>
            </c:extLst>
          </c:dPt>
          <c:dPt>
            <c:idx val="2"/>
            <c:bubble3D val="0"/>
            <c:spPr>
              <a:solidFill>
                <a:srgbClr val="FF9F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7D-4A39-8882-688DB0133E5C}"/>
              </c:ext>
            </c:extLst>
          </c:dPt>
          <c:dPt>
            <c:idx val="3"/>
            <c:bubble3D val="0"/>
            <c:spPr>
              <a:solidFill>
                <a:srgbClr val="34C7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47D-4A39-8882-688DB0133E5C}"/>
              </c:ext>
            </c:extLst>
          </c:dPt>
          <c:dPt>
            <c:idx val="4"/>
            <c:bubble3D val="0"/>
            <c:spPr>
              <a:solidFill>
                <a:srgbClr val="AF52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7D-4A39-8882-688DB0133E5C}"/>
              </c:ext>
            </c:extLst>
          </c:dPt>
          <c:cat>
            <c:strRef>
              <c:f>Dashboard!$B$98:$B$102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APAC</c:v>
                </c:pt>
              </c:strCache>
            </c:strRef>
          </c:cat>
          <c:val>
            <c:numRef>
              <c:f>Dashboard!$C$98:$C$102</c:f>
              <c:numCache>
                <c:formatCode>General</c:formatCode>
                <c:ptCount val="5"/>
                <c:pt idx="0">
                  <c:v>167.04499999999999</c:v>
                </c:pt>
                <c:pt idx="1">
                  <c:v>101.328</c:v>
                </c:pt>
                <c:pt idx="2">
                  <c:v>66.951999999999998</c:v>
                </c:pt>
                <c:pt idx="3">
                  <c:v>25.052</c:v>
                </c:pt>
                <c:pt idx="4">
                  <c:v>30.658000000000001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D-4A39-8882-688DB0133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Dashboard!$C$104</c:f>
              <c:strCache>
                <c:ptCount val="1"/>
                <c:pt idx="0">
                  <c:v>FY25A ($B)</c:v>
                </c:pt>
              </c:strCache>
            </c:strRef>
          </c:tx>
          <c:dPt>
            <c:idx val="0"/>
            <c:bubble3D val="0"/>
            <c:spPr>
              <a:solidFill>
                <a:srgbClr val="1D1D1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5A-458C-94FC-F0E634A73C24}"/>
              </c:ext>
            </c:extLst>
          </c:dPt>
          <c:dPt>
            <c:idx val="1"/>
            <c:bubble3D val="0"/>
            <c:spPr>
              <a:solidFill>
                <a:srgbClr val="0071E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45A-458C-94FC-F0E634A73C24}"/>
              </c:ext>
            </c:extLst>
          </c:dPt>
          <c:cat>
            <c:strRef>
              <c:f>Dashboard!$B$105:$B$106</c:f>
              <c:strCache>
                <c:ptCount val="2"/>
                <c:pt idx="0">
                  <c:v>Products</c:v>
                </c:pt>
                <c:pt idx="1">
                  <c:v>Services</c:v>
                </c:pt>
              </c:strCache>
            </c:strRef>
          </c:cat>
          <c:val>
            <c:numRef>
              <c:f>Dashboard!$C$105:$C$106</c:f>
              <c:numCache>
                <c:formatCode>General</c:formatCode>
                <c:ptCount val="2"/>
                <c:pt idx="0">
                  <c:v>307.00299999999999</c:v>
                </c:pt>
                <c:pt idx="1">
                  <c:v>109.158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A-458C-94FC-F0E634A73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Dashboard!$C$108</c:f>
              <c:strCache>
                <c:ptCount val="1"/>
                <c:pt idx="0">
                  <c:v>FY25A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F52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A0-4C2D-A8D6-5CDC18DB417C}"/>
              </c:ext>
            </c:extLst>
          </c:dPt>
          <c:dPt>
            <c:idx val="1"/>
            <c:invertIfNegative val="0"/>
            <c:bubble3D val="0"/>
            <c:spPr>
              <a:solidFill>
                <a:srgbClr val="FF9F0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A0-4C2D-A8D6-5CDC18DB417C}"/>
              </c:ext>
            </c:extLst>
          </c:dPt>
          <c:dPt>
            <c:idx val="2"/>
            <c:invertIfNegative val="0"/>
            <c:bubble3D val="0"/>
            <c:spPr>
              <a:solidFill>
                <a:srgbClr val="34C7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A0-4C2D-A8D6-5CDC18DB417C}"/>
              </c:ext>
            </c:extLst>
          </c:dPt>
          <c:dPt>
            <c:idx val="3"/>
            <c:invertIfNegative val="0"/>
            <c:bubble3D val="0"/>
            <c:spPr>
              <a:solidFill>
                <a:srgbClr val="0071E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A0-4C2D-A8D6-5CDC18DB417C}"/>
              </c:ext>
            </c:extLst>
          </c:dPt>
          <c:dPt>
            <c:idx val="4"/>
            <c:invertIfNegative val="0"/>
            <c:bubble3D val="0"/>
            <c:spPr>
              <a:solidFill>
                <a:srgbClr val="1D1D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A0-4C2D-A8D6-5CDC18DB417C}"/>
              </c:ext>
            </c:extLst>
          </c:dPt>
          <c:cat>
            <c:strRef>
              <c:f>Dashboard!$B$109:$B$113</c:f>
              <c:strCache>
                <c:ptCount val="5"/>
                <c:pt idx="0">
                  <c:v>iPad</c:v>
                </c:pt>
                <c:pt idx="1">
                  <c:v>Mac</c:v>
                </c:pt>
                <c:pt idx="2">
                  <c:v>Wearables</c:v>
                </c:pt>
                <c:pt idx="3">
                  <c:v>Services</c:v>
                </c:pt>
                <c:pt idx="4">
                  <c:v>iPhone</c:v>
                </c:pt>
              </c:strCache>
            </c:strRef>
          </c:cat>
          <c:val>
            <c:numRef>
              <c:f>Dashboard!$C$109:$C$113</c:f>
              <c:numCache>
                <c:formatCode>General</c:formatCode>
                <c:ptCount val="5"/>
                <c:pt idx="0">
                  <c:v>26.693999999999999</c:v>
                </c:pt>
                <c:pt idx="1">
                  <c:v>29.984000000000002</c:v>
                </c:pt>
                <c:pt idx="2">
                  <c:v>37.005000000000003</c:v>
                </c:pt>
                <c:pt idx="3">
                  <c:v>96.168999999999997</c:v>
                </c:pt>
                <c:pt idx="4">
                  <c:v>201.18299999999999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0-4C2D-A8D6-5CDC18DB4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93280"/>
        <c:axId val="1717976672"/>
      </c:barChart>
      <c:catAx>
        <c:axId val="399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17976672"/>
        <c:crosses val="autoZero"/>
        <c:auto val="1"/>
        <c:lblAlgn val="ctr"/>
        <c:lblOffset val="100"/>
        <c:noMultiLvlLbl val="0"/>
      </c:catAx>
      <c:valAx>
        <c:axId val="171797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99328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Dashboard!$B$116</c:f>
              <c:strCache>
                <c:ptCount val="1"/>
                <c:pt idx="0">
                  <c:v>Gross %</c:v>
                </c:pt>
              </c:strCache>
            </c:strRef>
          </c:tx>
          <c:spPr>
            <a:ln w="28575" cap="rnd">
              <a:solidFill>
                <a:srgbClr val="1D1D1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D1D1F"/>
              </a:solidFill>
              <a:ln w="9525">
                <a:solidFill>
                  <a:srgbClr val="1D1D1F"/>
                </a:solidFill>
                <a:prstDash val="solid"/>
              </a:ln>
              <a:effectLst/>
            </c:spPr>
          </c:marker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Dashboard!$C$116:$K$116</c:f>
              <c:numCache>
                <c:formatCode>General</c:formatCode>
                <c:ptCount val="9"/>
                <c:pt idx="0">
                  <c:v>0.41779359625167778</c:v>
                </c:pt>
                <c:pt idx="1">
                  <c:v>0.43309630561360085</c:v>
                </c:pt>
                <c:pt idx="2">
                  <c:v>0.44131129577207562</c:v>
                </c:pt>
                <c:pt idx="3">
                  <c:v>0.46206349815233932</c:v>
                </c:pt>
                <c:pt idx="4">
                  <c:v>0.46905164107160452</c:v>
                </c:pt>
                <c:pt idx="5">
                  <c:v>0.50864085658324687</c:v>
                </c:pt>
                <c:pt idx="6">
                  <c:v>0.5140882236712887</c:v>
                </c:pt>
                <c:pt idx="7">
                  <c:v>0.51969721062457108</c:v>
                </c:pt>
                <c:pt idx="8" formatCode="0.0%">
                  <c:v>0.52546013336279696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E-4225-B081-D13CB29EED90}"/>
            </c:ext>
          </c:extLst>
        </c:ser>
        <c:ser>
          <c:idx val="1"/>
          <c:order val="1"/>
          <c:tx>
            <c:strRef>
              <c:f>Dashboard!$B$117</c:f>
              <c:strCache>
                <c:ptCount val="1"/>
                <c:pt idx="0">
                  <c:v>Operating %</c:v>
                </c:pt>
              </c:strCache>
            </c:strRef>
          </c:tx>
          <c:spPr>
            <a:ln w="28575" cap="rnd">
              <a:solidFill>
                <a:srgbClr val="0071E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71E3"/>
              </a:solidFill>
              <a:ln w="9525">
                <a:solidFill>
                  <a:srgbClr val="0071E3"/>
                </a:solidFill>
                <a:prstDash val="solid"/>
              </a:ln>
              <a:effectLst/>
            </c:spPr>
          </c:marker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Dashboard!$C$117:$K$117</c:f>
              <c:numCache>
                <c:formatCode>General</c:formatCode>
                <c:ptCount val="9"/>
                <c:pt idx="0">
                  <c:v>0.29782377527561593</c:v>
                </c:pt>
                <c:pt idx="1">
                  <c:v>0.30288744395528594</c:v>
                </c:pt>
                <c:pt idx="2">
                  <c:v>0.29821412265024722</c:v>
                </c:pt>
                <c:pt idx="3">
                  <c:v>0.31510222870075566</c:v>
                </c:pt>
                <c:pt idx="4">
                  <c:v>0.31970799762591884</c:v>
                </c:pt>
                <c:pt idx="5">
                  <c:v>0.36493071560450013</c:v>
                </c:pt>
                <c:pt idx="6">
                  <c:v>0.37593246428408905</c:v>
                </c:pt>
                <c:pt idx="7">
                  <c:v>0.38701333409532179</c:v>
                </c:pt>
                <c:pt idx="8" formatCode="0.0%">
                  <c:v>0.39816196010850741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E-4225-B081-D13CB29EED90}"/>
            </c:ext>
          </c:extLst>
        </c:ser>
        <c:ser>
          <c:idx val="2"/>
          <c:order val="2"/>
          <c:tx>
            <c:strRef>
              <c:f>Dashboard!$B$118</c:f>
              <c:strCache>
                <c:ptCount val="1"/>
                <c:pt idx="0">
                  <c:v>Net %</c:v>
                </c:pt>
              </c:strCache>
            </c:strRef>
          </c:tx>
          <c:spPr>
            <a:ln w="28575" cap="rnd">
              <a:solidFill>
                <a:srgbClr val="34C7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4C759"/>
              </a:solidFill>
              <a:ln w="9525">
                <a:solidFill>
                  <a:srgbClr val="34C759"/>
                </a:solidFill>
                <a:prstDash val="solid"/>
              </a:ln>
              <a:effectLst/>
            </c:spPr>
          </c:marker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Dashboard!$C$118:$K$118</c:f>
              <c:numCache>
                <c:formatCode>General</c:formatCode>
                <c:ptCount val="9"/>
                <c:pt idx="0">
                  <c:v>0.25881793355694238</c:v>
                </c:pt>
                <c:pt idx="1">
                  <c:v>0.25309640705199732</c:v>
                </c:pt>
                <c:pt idx="2">
                  <c:v>0.25306234264320282</c:v>
                </c:pt>
                <c:pt idx="3">
                  <c:v>0.23971255769943867</c:v>
                </c:pt>
                <c:pt idx="4">
                  <c:v>0.26915064121818238</c:v>
                </c:pt>
                <c:pt idx="5">
                  <c:v>0.31845583699011343</c:v>
                </c:pt>
                <c:pt idx="6">
                  <c:v>0.32795325570082623</c:v>
                </c:pt>
                <c:pt idx="7">
                  <c:v>0.33752429919336213</c:v>
                </c:pt>
                <c:pt idx="8" formatCode="0.0%">
                  <c:v>0.34715883050594115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3E-4225-B081-D13CB29EED90}"/>
            </c:ext>
          </c:extLst>
        </c:ser>
        <c:ser>
          <c:idx val="3"/>
          <c:order val="3"/>
          <c:tx>
            <c:strRef>
              <c:f>Dashboard!$B$119</c:f>
              <c:strCache>
                <c:ptCount val="1"/>
                <c:pt idx="0">
                  <c:v>FCF %</c:v>
                </c:pt>
              </c:strCache>
            </c:strRef>
          </c:tx>
          <c:spPr>
            <a:ln w="28575" cap="rnd">
              <a:solidFill>
                <a:srgbClr val="FF9F0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9F0A"/>
              </a:solidFill>
              <a:ln w="9525">
                <a:solidFill>
                  <a:srgbClr val="FF9F0A"/>
                </a:solidFill>
                <a:prstDash val="solid"/>
              </a:ln>
              <a:effectLst/>
            </c:spPr>
          </c:marker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Dashboard!$C$119:$K$119</c:f>
              <c:numCache>
                <c:formatCode>General</c:formatCode>
                <c:ptCount val="9"/>
                <c:pt idx="0">
                  <c:v>0.25409699385211731</c:v>
                </c:pt>
                <c:pt idx="1">
                  <c:v>0.28261498042238947</c:v>
                </c:pt>
                <c:pt idx="2">
                  <c:v>0.25981710737440805</c:v>
                </c:pt>
                <c:pt idx="3">
                  <c:v>0.27825386474356517</c:v>
                </c:pt>
                <c:pt idx="4">
                  <c:v>0.23732882225869315</c:v>
                </c:pt>
                <c:pt idx="5">
                  <c:v>0.32002326505784257</c:v>
                </c:pt>
                <c:pt idx="6">
                  <c:v>0.32354813820223771</c:v>
                </c:pt>
                <c:pt idx="7">
                  <c:v>0.37066130172465983</c:v>
                </c:pt>
                <c:pt idx="8" formatCode="0.0%">
                  <c:v>0.39604274560587566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3E-4225-B081-D13CB29EE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626976"/>
        <c:axId val="1768474144"/>
      </c:lineChart>
      <c:catAx>
        <c:axId val="18986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68474144"/>
        <c:crosses val="autoZero"/>
        <c:auto val="1"/>
        <c:lblAlgn val="ctr"/>
        <c:lblOffset val="100"/>
        <c:noMultiLvlLbl val="0"/>
      </c:catAx>
      <c:valAx>
        <c:axId val="17684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9862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Dashboard!$C$121</c:f>
              <c:strCache>
                <c:ptCount val="1"/>
                <c:pt idx="0">
                  <c:v>FY24A</c:v>
                </c:pt>
              </c:strCache>
            </c:strRef>
          </c:tx>
          <c:spPr>
            <a:solidFill>
              <a:srgbClr val="86868B"/>
            </a:solidFill>
            <a:ln>
              <a:noFill/>
            </a:ln>
            <a:effectLst/>
          </c:spPr>
          <c:invertIfNegative val="0"/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Dashboard!$C$122:$C$126</c:f>
              <c:numCache>
                <c:formatCode>General</c:formatCode>
                <c:ptCount val="5"/>
                <c:pt idx="0">
                  <c:v>200.583</c:v>
                </c:pt>
                <c:pt idx="1">
                  <c:v>85.2</c:v>
                </c:pt>
                <c:pt idx="2">
                  <c:v>39.844999999999999</c:v>
                </c:pt>
                <c:pt idx="3">
                  <c:v>29.356999999999999</c:v>
                </c:pt>
                <c:pt idx="4">
                  <c:v>28.3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7-4BDB-8439-8F2ECC74D9E7}"/>
            </c:ext>
          </c:extLst>
        </c:ser>
        <c:ser>
          <c:idx val="1"/>
          <c:order val="1"/>
          <c:tx>
            <c:strRef>
              <c:f>Dashboard!$D$121</c:f>
              <c:strCache>
                <c:ptCount val="1"/>
                <c:pt idx="0">
                  <c:v>FY25A</c:v>
                </c:pt>
              </c:strCache>
            </c:strRef>
          </c:tx>
          <c:spPr>
            <a:solidFill>
              <a:srgbClr val="1D1D1F"/>
            </a:solidFill>
            <a:ln>
              <a:noFill/>
            </a:ln>
            <a:effectLst/>
          </c:spPr>
          <c:invertIfNegative val="0"/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Dashboard!$D$122:$D$126</c:f>
              <c:numCache>
                <c:formatCode>General</c:formatCode>
                <c:ptCount val="5"/>
                <c:pt idx="0">
                  <c:v>201.18299999999999</c:v>
                </c:pt>
                <c:pt idx="1">
                  <c:v>96.168999999999997</c:v>
                </c:pt>
                <c:pt idx="2">
                  <c:v>37.005000000000003</c:v>
                </c:pt>
                <c:pt idx="3">
                  <c:v>29.984000000000002</c:v>
                </c:pt>
                <c:pt idx="4">
                  <c:v>26.693999999999999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7-4BDB-8439-8F2ECC74D9E7}"/>
            </c:ext>
          </c:extLst>
        </c:ser>
        <c:ser>
          <c:idx val="2"/>
          <c:order val="2"/>
          <c:tx>
            <c:strRef>
              <c:f>Dashboard!$E$121</c:f>
              <c:strCache>
                <c:ptCount val="1"/>
                <c:pt idx="0">
                  <c:v>FY26E</c:v>
                </c:pt>
              </c:strCache>
            </c:strRef>
          </c:tx>
          <c:spPr>
            <a:solidFill>
              <a:srgbClr val="0071E3"/>
            </a:solidFill>
            <a:ln>
              <a:noFill/>
            </a:ln>
            <a:effectLst/>
          </c:spPr>
          <c:invertIfNegative val="0"/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Dashboard!$E$122:$E$126</c:f>
              <c:numCache>
                <c:formatCode>General</c:formatCode>
                <c:ptCount val="5"/>
                <c:pt idx="0">
                  <c:v>209.58600000000001</c:v>
                </c:pt>
                <c:pt idx="1">
                  <c:v>109.158</c:v>
                </c:pt>
                <c:pt idx="2">
                  <c:v>35.686</c:v>
                </c:pt>
                <c:pt idx="3">
                  <c:v>33.707999999999998</c:v>
                </c:pt>
                <c:pt idx="4">
                  <c:v>28.023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67-4BDB-8439-8F2ECC74D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632080"/>
        <c:axId val="1768495264"/>
      </c:barChart>
      <c:catAx>
        <c:axId val="189863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68495264"/>
        <c:crosses val="autoZero"/>
        <c:auto val="1"/>
        <c:lblAlgn val="ctr"/>
        <c:lblOffset val="100"/>
        <c:noMultiLvlLbl val="0"/>
      </c:catAx>
      <c:valAx>
        <c:axId val="17684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9863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Dashboard!$B$129</c:f>
              <c:strCache>
                <c:ptCount val="1"/>
                <c:pt idx="0">
                  <c:v>FCF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68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51-4636-9C12-1C37530EA0D0}"/>
              </c:ext>
            </c:extLst>
          </c:dPt>
          <c:dPt>
            <c:idx val="1"/>
            <c:invertIfNegative val="0"/>
            <c:bubble3D val="0"/>
            <c:spPr>
              <a:solidFill>
                <a:srgbClr val="868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51-4636-9C12-1C37530EA0D0}"/>
              </c:ext>
            </c:extLst>
          </c:dPt>
          <c:dPt>
            <c:idx val="2"/>
            <c:invertIfNegative val="0"/>
            <c:bubble3D val="0"/>
            <c:spPr>
              <a:solidFill>
                <a:srgbClr val="868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1-4636-9C12-1C37530EA0D0}"/>
              </c:ext>
            </c:extLst>
          </c:dPt>
          <c:dPt>
            <c:idx val="3"/>
            <c:invertIfNegative val="0"/>
            <c:bubble3D val="0"/>
            <c:spPr>
              <a:solidFill>
                <a:srgbClr val="868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C51-4636-9C12-1C37530EA0D0}"/>
              </c:ext>
            </c:extLst>
          </c:dPt>
          <c:dPt>
            <c:idx val="4"/>
            <c:invertIfNegative val="0"/>
            <c:bubble3D val="0"/>
            <c:spPr>
              <a:solidFill>
                <a:srgbClr val="868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51-4636-9C12-1C37530EA0D0}"/>
              </c:ext>
            </c:extLst>
          </c:dPt>
          <c:dPt>
            <c:idx val="5"/>
            <c:invertIfNegative val="0"/>
            <c:bubble3D val="0"/>
            <c:spPr>
              <a:solidFill>
                <a:srgbClr val="0071E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C51-4636-9C12-1C37530EA0D0}"/>
              </c:ext>
            </c:extLst>
          </c:dPt>
          <c:dPt>
            <c:idx val="6"/>
            <c:invertIfNegative val="0"/>
            <c:bubble3D val="0"/>
            <c:spPr>
              <a:solidFill>
                <a:srgbClr val="0071E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51-4636-9C12-1C37530EA0D0}"/>
              </c:ext>
            </c:extLst>
          </c:dPt>
          <c:dPt>
            <c:idx val="7"/>
            <c:invertIfNegative val="0"/>
            <c:bubble3D val="0"/>
            <c:spPr>
              <a:solidFill>
                <a:srgbClr val="0071E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C51-4636-9C12-1C37530EA0D0}"/>
              </c:ext>
            </c:extLst>
          </c:dPt>
          <c:cat>
            <c:strRef>
              <c:f>Dashboard!$C$128:$K$128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Dashboard!$C$129:$K$129</c:f>
              <c:numCache>
                <c:formatCode>General</c:formatCode>
                <c:ptCount val="9"/>
                <c:pt idx="0">
                  <c:v>92.953000000000003</c:v>
                </c:pt>
                <c:pt idx="1">
                  <c:v>111.443</c:v>
                </c:pt>
                <c:pt idx="2">
                  <c:v>99.584000000000003</c:v>
                </c:pt>
                <c:pt idx="3">
                  <c:v>108.807</c:v>
                </c:pt>
                <c:pt idx="4">
                  <c:v>98.766999999999996</c:v>
                </c:pt>
                <c:pt idx="5">
                  <c:v>144.09278886049998</c:v>
                </c:pt>
                <c:pt idx="6">
                  <c:v>157.7820430991772</c:v>
                </c:pt>
                <c:pt idx="7">
                  <c:v>195.98633069823146</c:v>
                </c:pt>
                <c:pt idx="8" formatCode="0.0">
                  <c:v>227.30289442222215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1-4636-9C12-1C37530EA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8880"/>
        <c:axId val="1768496224"/>
      </c:barChart>
      <c:catAx>
        <c:axId val="2051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68496224"/>
        <c:crosses val="autoZero"/>
        <c:auto val="1"/>
        <c:lblAlgn val="ctr"/>
        <c:lblOffset val="100"/>
        <c:noMultiLvlLbl val="0"/>
      </c:catAx>
      <c:valAx>
        <c:axId val="176849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51888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Pivots!$B$13</c:f>
              <c:strCache>
                <c:ptCount val="1"/>
                <c:pt idx="0">
                  <c:v>Products revenue</c:v>
                </c:pt>
              </c:strCache>
            </c:strRef>
          </c:tx>
          <c:spPr>
            <a:solidFill>
              <a:srgbClr val="0A234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Pivots!$F$12:$N$12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Pivots!$F$13:$N$13</c:f>
              <c:numCache>
                <c:formatCode>#,##0;\(#,##0\);\-</c:formatCode>
                <c:ptCount val="9"/>
                <c:pt idx="0">
                  <c:v>297392</c:v>
                </c:pt>
                <c:pt idx="1">
                  <c:v>316199</c:v>
                </c:pt>
                <c:pt idx="2">
                  <c:v>298085</c:v>
                </c:pt>
                <c:pt idx="3">
                  <c:v>294866</c:v>
                </c:pt>
                <c:pt idx="4">
                  <c:v>307003</c:v>
                </c:pt>
                <c:pt idx="5">
                  <c:v>325817.11</c:v>
                </c:pt>
                <c:pt idx="6">
                  <c:v>345799.98790000001</c:v>
                </c:pt>
                <c:pt idx="7">
                  <c:v>367025.37382300006</c:v>
                </c:pt>
                <c:pt idx="8">
                  <c:v>389571.74244055006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1-441A-9530-7A85B9F35C6F}"/>
            </c:ext>
          </c:extLst>
        </c:ser>
        <c:ser>
          <c:idx val="1"/>
          <c:order val="1"/>
          <c:tx>
            <c:strRef>
              <c:f>Pivots!$B$14</c:f>
              <c:strCache>
                <c:ptCount val="1"/>
                <c:pt idx="0">
                  <c:v>Services revenue</c:v>
                </c:pt>
              </c:strCache>
            </c:strRef>
          </c:tx>
          <c:spPr>
            <a:solidFill>
              <a:srgbClr val="2E5B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Pivots!$F$12:$N$12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Pivots!$F$14:$N$14</c:f>
              <c:numCache>
                <c:formatCode>#,##0;\(#,##0\);\-</c:formatCode>
                <c:ptCount val="9"/>
                <c:pt idx="0">
                  <c:v>68425</c:v>
                </c:pt>
                <c:pt idx="1">
                  <c:v>78129</c:v>
                </c:pt>
                <c:pt idx="2">
                  <c:v>85200</c:v>
                </c:pt>
                <c:pt idx="3">
                  <c:v>96169</c:v>
                </c:pt>
                <c:pt idx="4">
                  <c:v>109158</c:v>
                </c:pt>
                <c:pt idx="5">
                  <c:v>124440.12000000001</c:v>
                </c:pt>
                <c:pt idx="6">
                  <c:v>141861.73680000001</c:v>
                </c:pt>
                <c:pt idx="7">
                  <c:v>161722.37995200005</c:v>
                </c:pt>
                <c:pt idx="8">
                  <c:v>184363.51314528007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1-441A-9530-7A85B9F35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58810"/>
        <c:axId val="49729423"/>
      </c:barChart>
      <c:catAx>
        <c:axId val="16058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KE"/>
          </a:p>
        </c:txPr>
        <c:crossAx val="49729423"/>
        <c:crosses val="autoZero"/>
        <c:auto val="1"/>
        <c:lblAlgn val="ctr"/>
        <c:lblOffset val="100"/>
        <c:noMultiLvlLbl val="0"/>
      </c:catAx>
      <c:valAx>
        <c:axId val="4972942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KE"/>
          </a:p>
        </c:txPr>
        <c:crossAx val="160588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K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Pivots!$B$19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080">
              <a:solidFill>
                <a:srgbClr val="0A2342"/>
              </a:solidFill>
              <a:round/>
            </a:ln>
          </c:spPr>
          <c:marker>
            <c:symbol val="circle"/>
            <c:size val="7"/>
            <c:spPr>
              <a:solidFill>
                <a:srgbClr val="0A234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Pivots!$F$19:$N$19</c:f>
              <c:numCache>
                <c:formatCode>0.0%;\(0.0%\);\-</c:formatCode>
                <c:ptCount val="9"/>
                <c:pt idx="0">
                  <c:v>0.41779359625167778</c:v>
                </c:pt>
                <c:pt idx="1">
                  <c:v>0.43309630561360085</c:v>
                </c:pt>
                <c:pt idx="2">
                  <c:v>0.44131129577207562</c:v>
                </c:pt>
                <c:pt idx="3">
                  <c:v>0.46206349815233932</c:v>
                </c:pt>
                <c:pt idx="4">
                  <c:v>0.46905164107160452</c:v>
                </c:pt>
                <c:pt idx="5">
                  <c:v>0.50864085658324687</c:v>
                </c:pt>
                <c:pt idx="6">
                  <c:v>0.5140882236712887</c:v>
                </c:pt>
                <c:pt idx="7">
                  <c:v>0.51969721062457108</c:v>
                </c:pt>
                <c:pt idx="8" formatCode="0.0%">
                  <c:v>0.52546013336279696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34-4CE6-9158-4F15665B33D1}"/>
            </c:ext>
          </c:extLst>
        </c:ser>
        <c:ser>
          <c:idx val="1"/>
          <c:order val="1"/>
          <c:tx>
            <c:strRef>
              <c:f>Pivots!$B$20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080">
              <a:solidFill>
                <a:srgbClr val="2E5BFF"/>
              </a:solidFill>
              <a:round/>
            </a:ln>
          </c:spPr>
          <c:marker>
            <c:symbol val="circle"/>
            <c:size val="7"/>
            <c:spPr>
              <a:solidFill>
                <a:srgbClr val="2E5B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Pivots!$F$20:$N$20</c:f>
              <c:numCache>
                <c:formatCode>0.0%;\(0.0%\);\-</c:formatCode>
                <c:ptCount val="9"/>
                <c:pt idx="0">
                  <c:v>0.29782377527561593</c:v>
                </c:pt>
                <c:pt idx="1">
                  <c:v>0.30288744395528594</c:v>
                </c:pt>
                <c:pt idx="2">
                  <c:v>0.29821412265024722</c:v>
                </c:pt>
                <c:pt idx="3">
                  <c:v>0.31510222870075566</c:v>
                </c:pt>
                <c:pt idx="4">
                  <c:v>0.31970799762591884</c:v>
                </c:pt>
                <c:pt idx="5">
                  <c:v>0.36493071560450013</c:v>
                </c:pt>
                <c:pt idx="6">
                  <c:v>0.37593246428408905</c:v>
                </c:pt>
                <c:pt idx="7">
                  <c:v>0.38701333409532179</c:v>
                </c:pt>
                <c:pt idx="8">
                  <c:v>0.39816196010850741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34-4CE6-9158-4F15665B33D1}"/>
            </c:ext>
          </c:extLst>
        </c:ser>
        <c:ser>
          <c:idx val="2"/>
          <c:order val="2"/>
          <c:tx>
            <c:strRef>
              <c:f>Pivots!$B$21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080">
              <a:solidFill>
                <a:srgbClr val="0FA89F"/>
              </a:solidFill>
              <a:round/>
            </a:ln>
          </c:spPr>
          <c:marker>
            <c:symbol val="circle"/>
            <c:size val="7"/>
            <c:spPr>
              <a:solidFill>
                <a:srgbClr val="0FA89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Pivots!$F$21:$N$21</c:f>
              <c:numCache>
                <c:formatCode>0.0%;\(0.0%\);\-</c:formatCode>
                <c:ptCount val="9"/>
                <c:pt idx="0">
                  <c:v>0.25881793355694238</c:v>
                </c:pt>
                <c:pt idx="1">
                  <c:v>0.25309640705199732</c:v>
                </c:pt>
                <c:pt idx="2">
                  <c:v>0.25306234264320282</c:v>
                </c:pt>
                <c:pt idx="3">
                  <c:v>0.23971255769943867</c:v>
                </c:pt>
                <c:pt idx="4">
                  <c:v>0.26915064121818238</c:v>
                </c:pt>
                <c:pt idx="5">
                  <c:v>0.31845583699011343</c:v>
                </c:pt>
                <c:pt idx="6">
                  <c:v>0.32795325570082623</c:v>
                </c:pt>
                <c:pt idx="7">
                  <c:v>0.33752429919336213</c:v>
                </c:pt>
                <c:pt idx="8" formatCode="0.0%">
                  <c:v>0.34715883050594115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34-4CE6-9158-4F15665B3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4431738"/>
        <c:axId val="49733692"/>
      </c:lineChart>
      <c:catAx>
        <c:axId val="944317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KE"/>
          </a:p>
        </c:txPr>
        <c:crossAx val="49733692"/>
        <c:crosses val="autoZero"/>
        <c:auto val="1"/>
        <c:lblAlgn val="ctr"/>
        <c:lblOffset val="100"/>
        <c:noMultiLvlLbl val="0"/>
      </c:catAx>
      <c:valAx>
        <c:axId val="49733692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KE"/>
          </a:p>
        </c:txPr>
        <c:crossAx val="944317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K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Pivots!$B$25</c:f>
              <c:strCache>
                <c:ptCount val="1"/>
                <c:pt idx="0">
                  <c:v>Cash from operations</c:v>
                </c:pt>
              </c:strCache>
            </c:strRef>
          </c:tx>
          <c:spPr>
            <a:solidFill>
              <a:srgbClr val="0A234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Pivots!$F$25:$N$25</c:f>
              <c:numCache>
                <c:formatCode>#,##0;\(#,##0\);\-</c:formatCode>
                <c:ptCount val="9"/>
                <c:pt idx="0">
                  <c:v>104038</c:v>
                </c:pt>
                <c:pt idx="1">
                  <c:v>122151</c:v>
                </c:pt>
                <c:pt idx="2">
                  <c:v>110543</c:v>
                </c:pt>
                <c:pt idx="3">
                  <c:v>118254</c:v>
                </c:pt>
                <c:pt idx="4">
                  <c:v>111482</c:v>
                </c:pt>
                <c:pt idx="5">
                  <c:v>153998.44792049998</c:v>
                </c:pt>
                <c:pt idx="6">
                  <c:v>168510.60104257721</c:v>
                </c:pt>
                <c:pt idx="7">
                  <c:v>207618.78128128147</c:v>
                </c:pt>
                <c:pt idx="8">
                  <c:v>239929.47004511041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3-4F36-9703-D2987F898264}"/>
            </c:ext>
          </c:extLst>
        </c:ser>
        <c:ser>
          <c:idx val="1"/>
          <c:order val="1"/>
          <c:tx>
            <c:strRef>
              <c:f>Pivots!$B$26</c:f>
              <c:strCache>
                <c:ptCount val="1"/>
                <c:pt idx="0">
                  <c:v>Capital expenditures</c:v>
                </c:pt>
              </c:strCache>
            </c:strRef>
          </c:tx>
          <c:spPr>
            <a:solidFill>
              <a:srgbClr val="C8102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Pivots!$F$26:$N$26</c:f>
              <c:numCache>
                <c:formatCode>#,##0;\(#,##0\);\-</c:formatCode>
                <c:ptCount val="9"/>
                <c:pt idx="0">
                  <c:v>-11085</c:v>
                </c:pt>
                <c:pt idx="1">
                  <c:v>-10708</c:v>
                </c:pt>
                <c:pt idx="2">
                  <c:v>-10959</c:v>
                </c:pt>
                <c:pt idx="3">
                  <c:v>-9447</c:v>
                </c:pt>
                <c:pt idx="4">
                  <c:v>-12715</c:v>
                </c:pt>
                <c:pt idx="5">
                  <c:v>-9905.6590599999981</c:v>
                </c:pt>
                <c:pt idx="6">
                  <c:v>-10728.557943399999</c:v>
                </c:pt>
                <c:pt idx="7">
                  <c:v>-11632.450583050002</c:v>
                </c:pt>
                <c:pt idx="8">
                  <c:v>-12626.575622888264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3-4F36-9703-D2987F898264}"/>
            </c:ext>
          </c:extLst>
        </c:ser>
        <c:ser>
          <c:idx val="2"/>
          <c:order val="2"/>
          <c:tx>
            <c:strRef>
              <c:f>Pivots!$B$27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0FA95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Pivots!$F$27:$N$27</c:f>
              <c:numCache>
                <c:formatCode>#,##0;\(#,##0\);\-</c:formatCode>
                <c:ptCount val="9"/>
                <c:pt idx="0">
                  <c:v>92953</c:v>
                </c:pt>
                <c:pt idx="1">
                  <c:v>111443</c:v>
                </c:pt>
                <c:pt idx="2">
                  <c:v>99584</c:v>
                </c:pt>
                <c:pt idx="3">
                  <c:v>108807</c:v>
                </c:pt>
                <c:pt idx="4">
                  <c:v>98767</c:v>
                </c:pt>
                <c:pt idx="5">
                  <c:v>144092.78886049998</c:v>
                </c:pt>
                <c:pt idx="6">
                  <c:v>157782.04309917722</c:v>
                </c:pt>
                <c:pt idx="7">
                  <c:v>195986.33069823147</c:v>
                </c:pt>
                <c:pt idx="8">
                  <c:v>227302.89442222216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3-4F36-9703-D2987F898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36180"/>
        <c:axId val="32193396"/>
      </c:barChart>
      <c:catAx>
        <c:axId val="56361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KE"/>
          </a:p>
        </c:txPr>
        <c:crossAx val="32193396"/>
        <c:crosses val="autoZero"/>
        <c:auto val="1"/>
        <c:lblAlgn val="ctr"/>
        <c:lblOffset val="100"/>
        <c:noMultiLvlLbl val="0"/>
      </c:catAx>
      <c:valAx>
        <c:axId val="3219339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KE"/>
          </a:p>
        </c:txPr>
        <c:crossAx val="56361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K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992661533709684"/>
          <c:y val="0.10798544897568448"/>
          <c:w val="0.85171683642141849"/>
          <c:h val="0.549793605207735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Pivots!$B$31</c:f>
              <c:strCache>
                <c:ptCount val="1"/>
                <c:pt idx="0">
                  <c:v>Dividends paid</c:v>
                </c:pt>
              </c:strCache>
            </c:strRef>
          </c:tx>
          <c:spPr>
            <a:solidFill>
              <a:srgbClr val="F4A26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Pivots!$F$30:$N$30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Pivots!$F$31:$N$31</c:f>
              <c:numCache>
                <c:formatCode>#,##0;\(#,##0\);\-</c:formatCode>
                <c:ptCount val="9"/>
                <c:pt idx="0">
                  <c:v>-14467</c:v>
                </c:pt>
                <c:pt idx="1">
                  <c:v>-14841</c:v>
                </c:pt>
                <c:pt idx="2">
                  <c:v>-15025</c:v>
                </c:pt>
                <c:pt idx="3">
                  <c:v>-15234</c:v>
                </c:pt>
                <c:pt idx="4">
                  <c:v>-15421</c:v>
                </c:pt>
                <c:pt idx="5">
                  <c:v>-18155.691396422997</c:v>
                </c:pt>
                <c:pt idx="6">
                  <c:v>-19880.53743049633</c:v>
                </c:pt>
                <c:pt idx="7">
                  <c:v>-24694.277667977167</c:v>
                </c:pt>
                <c:pt idx="8">
                  <c:v>-28640.164697199991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A-4D10-8799-A2A2AA7A11D1}"/>
            </c:ext>
          </c:extLst>
        </c:ser>
        <c:ser>
          <c:idx val="1"/>
          <c:order val="1"/>
          <c:tx>
            <c:strRef>
              <c:f>Pivots!$B$32</c:f>
              <c:strCache>
                <c:ptCount val="1"/>
                <c:pt idx="0">
                  <c:v>Share repurchases</c:v>
                </c:pt>
              </c:strCache>
            </c:strRef>
          </c:tx>
          <c:spPr>
            <a:solidFill>
              <a:srgbClr val="061A3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K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Pivots!$F$30:$N$30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Pivots!$F$32:$N$32</c:f>
              <c:numCache>
                <c:formatCode>#,##0;\(#,##0\);\-</c:formatCode>
                <c:ptCount val="9"/>
                <c:pt idx="0">
                  <c:v>-85971</c:v>
                </c:pt>
                <c:pt idx="1">
                  <c:v>-89402</c:v>
                </c:pt>
                <c:pt idx="2">
                  <c:v>-77550</c:v>
                </c:pt>
                <c:pt idx="3">
                  <c:v>-94949</c:v>
                </c:pt>
                <c:pt idx="4">
                  <c:v>-90711</c:v>
                </c:pt>
                <c:pt idx="5">
                  <c:v>-133141.73690710199</c:v>
                </c:pt>
                <c:pt idx="6">
                  <c:v>-145790.60782363976</c:v>
                </c:pt>
                <c:pt idx="7">
                  <c:v>-181091.36956516589</c:v>
                </c:pt>
                <c:pt idx="8">
                  <c:v>-210027.8744461333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A-4D10-8799-A2A2AA7A1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18805"/>
        <c:axId val="10459675"/>
      </c:barChart>
      <c:catAx>
        <c:axId val="475188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KE"/>
          </a:p>
        </c:txPr>
        <c:crossAx val="10459675"/>
        <c:crosses val="autoZero"/>
        <c:auto val="1"/>
        <c:lblAlgn val="ctr"/>
        <c:lblOffset val="100"/>
        <c:noMultiLvlLbl val="0"/>
      </c:catAx>
      <c:valAx>
        <c:axId val="1045967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KE"/>
          </a:p>
        </c:txPr>
        <c:crossAx val="475188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K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13</xdr:row>
      <xdr:rowOff>50800</xdr:rowOff>
    </xdr:from>
    <xdr:to>
      <xdr:col>11</xdr:col>
      <xdr:colOff>647700</xdr:colOff>
      <xdr:row>25</xdr:row>
      <xdr:rowOff>133350</xdr:rowOff>
    </xdr:to>
    <xdr:graphicFrame macro="">
      <xdr:nvGraphicFramePr>
        <xdr:cNvPr id="20" name="RevenueTrend">
          <a:extLst>
            <a:ext uri="{FF2B5EF4-FFF2-40B4-BE49-F238E27FC236}">
              <a16:creationId xmlns:a16="http://schemas.microsoft.com/office/drawing/2014/main" id="{A3D9A05E-8BCC-CAED-AE76-A091AA6D9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50800</xdr:colOff>
      <xdr:row>13</xdr:row>
      <xdr:rowOff>50800</xdr:rowOff>
    </xdr:from>
    <xdr:to>
      <xdr:col>20</xdr:col>
      <xdr:colOff>647700</xdr:colOff>
      <xdr:row>25</xdr:row>
      <xdr:rowOff>133350</xdr:rowOff>
    </xdr:to>
    <xdr:graphicFrame macro="">
      <xdr:nvGraphicFramePr>
        <xdr:cNvPr id="21" name="GeoDonut">
          <a:extLst>
            <a:ext uri="{FF2B5EF4-FFF2-40B4-BE49-F238E27FC236}">
              <a16:creationId xmlns:a16="http://schemas.microsoft.com/office/drawing/2014/main" id="{1F9334B2-76F7-CCA8-9FFE-21BB56763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25400</xdr:colOff>
      <xdr:row>29</xdr:row>
      <xdr:rowOff>25400</xdr:rowOff>
    </xdr:from>
    <xdr:to>
      <xdr:col>6</xdr:col>
      <xdr:colOff>673100</xdr:colOff>
      <xdr:row>42</xdr:row>
      <xdr:rowOff>158750</xdr:rowOff>
    </xdr:to>
    <xdr:graphicFrame macro="">
      <xdr:nvGraphicFramePr>
        <xdr:cNvPr id="22" name="SegmentDonut">
          <a:extLst>
            <a:ext uri="{FF2B5EF4-FFF2-40B4-BE49-F238E27FC236}">
              <a16:creationId xmlns:a16="http://schemas.microsoft.com/office/drawing/2014/main" id="{0DE29D11-2DF1-AAD7-6457-34EAEFBA8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25400</xdr:colOff>
      <xdr:row>29</xdr:row>
      <xdr:rowOff>25400</xdr:rowOff>
    </xdr:from>
    <xdr:to>
      <xdr:col>20</xdr:col>
      <xdr:colOff>673100</xdr:colOff>
      <xdr:row>42</xdr:row>
      <xdr:rowOff>158750</xdr:rowOff>
    </xdr:to>
    <xdr:graphicFrame macro="">
      <xdr:nvGraphicFramePr>
        <xdr:cNvPr id="23" name="Top5Products">
          <a:extLst>
            <a:ext uri="{FF2B5EF4-FFF2-40B4-BE49-F238E27FC236}">
              <a16:creationId xmlns:a16="http://schemas.microsoft.com/office/drawing/2014/main" id="{4C087541-8134-6AC9-114F-CF3EAE665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25400</xdr:colOff>
      <xdr:row>46</xdr:row>
      <xdr:rowOff>25400</xdr:rowOff>
    </xdr:from>
    <xdr:to>
      <xdr:col>20</xdr:col>
      <xdr:colOff>673100</xdr:colOff>
      <xdr:row>59</xdr:row>
      <xdr:rowOff>158750</xdr:rowOff>
    </xdr:to>
    <xdr:graphicFrame macro="">
      <xdr:nvGraphicFramePr>
        <xdr:cNvPr id="24" name="MarginsTrend">
          <a:extLst>
            <a:ext uri="{FF2B5EF4-FFF2-40B4-BE49-F238E27FC236}">
              <a16:creationId xmlns:a16="http://schemas.microsoft.com/office/drawing/2014/main" id="{D5FF216A-BC23-3EC4-1682-E3A6C2C53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25400</xdr:colOff>
      <xdr:row>63</xdr:row>
      <xdr:rowOff>25400</xdr:rowOff>
    </xdr:from>
    <xdr:to>
      <xdr:col>8</xdr:col>
      <xdr:colOff>673100</xdr:colOff>
      <xdr:row>75</xdr:row>
      <xdr:rowOff>158750</xdr:rowOff>
    </xdr:to>
    <xdr:graphicFrame macro="">
      <xdr:nvGraphicFramePr>
        <xdr:cNvPr id="25" name="ProductLineBars">
          <a:extLst>
            <a:ext uri="{FF2B5EF4-FFF2-40B4-BE49-F238E27FC236}">
              <a16:creationId xmlns:a16="http://schemas.microsoft.com/office/drawing/2014/main" id="{4756E20F-68AF-BD32-0C87-2417B5157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25400</xdr:colOff>
      <xdr:row>63</xdr:row>
      <xdr:rowOff>25400</xdr:rowOff>
    </xdr:from>
    <xdr:to>
      <xdr:col>14</xdr:col>
      <xdr:colOff>673100</xdr:colOff>
      <xdr:row>75</xdr:row>
      <xdr:rowOff>158750</xdr:rowOff>
    </xdr:to>
    <xdr:graphicFrame macro="">
      <xdr:nvGraphicFramePr>
        <xdr:cNvPr id="26" name="FCFBars">
          <a:extLst>
            <a:ext uri="{FF2B5EF4-FFF2-40B4-BE49-F238E27FC236}">
              <a16:creationId xmlns:a16="http://schemas.microsoft.com/office/drawing/2014/main" id="{54099E2E-E62A-27CD-8495-F86AE3050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10</xdr:row>
      <xdr:rowOff>0</xdr:rowOff>
    </xdr:from>
    <xdr:to>
      <xdr:col>24</xdr:col>
      <xdr:colOff>484920</xdr:colOff>
      <xdr:row>14</xdr:row>
      <xdr:rowOff>267840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0</xdr:rowOff>
    </xdr:from>
    <xdr:to>
      <xdr:col>24</xdr:col>
      <xdr:colOff>484920</xdr:colOff>
      <xdr:row>20</xdr:row>
      <xdr:rowOff>267840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22</xdr:row>
      <xdr:rowOff>0</xdr:rowOff>
    </xdr:from>
    <xdr:to>
      <xdr:col>24</xdr:col>
      <xdr:colOff>484920</xdr:colOff>
      <xdr:row>26</xdr:row>
      <xdr:rowOff>267840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28</xdr:row>
      <xdr:rowOff>0</xdr:rowOff>
    </xdr:from>
    <xdr:to>
      <xdr:col>24</xdr:col>
      <xdr:colOff>484920</xdr:colOff>
      <xdr:row>32</xdr:row>
      <xdr:rowOff>181800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Archives/edgar/data/320193/000032019323000106/aapl-20230930.htm" TargetMode="External"/><Relationship Id="rId7" Type="http://schemas.openxmlformats.org/officeDocument/2006/relationships/hyperlink" Target="https://investor.apple.com/sec-filings/default.aspx" TargetMode="External"/><Relationship Id="rId2" Type="http://schemas.openxmlformats.org/officeDocument/2006/relationships/hyperlink" Target="https://www.sec.gov/Archives/edgar/data/320193/000032019322000108/aapl-20220924.htm" TargetMode="External"/><Relationship Id="rId1" Type="http://schemas.openxmlformats.org/officeDocument/2006/relationships/hyperlink" Target="https://www.sec.gov/Archives/edgar/data/320193/000032019325000079/aapl-20250927.htm" TargetMode="External"/><Relationship Id="rId6" Type="http://schemas.openxmlformats.org/officeDocument/2006/relationships/hyperlink" Target="https://www.sec.gov/cgi-bin/browse-edgar?action=getcompany&amp;CIK=0000320193&amp;type=10-K" TargetMode="External"/><Relationship Id="rId5" Type="http://schemas.openxmlformats.org/officeDocument/2006/relationships/hyperlink" Target="https://www.apple.com/newsroom/pdfs/FY22_Q4_Consolidated_Financial_Statements.pdf" TargetMode="External"/><Relationship Id="rId4" Type="http://schemas.openxmlformats.org/officeDocument/2006/relationships/hyperlink" Target="https://www.apple.com/newsroom/pdfs/fy2025-q4/FY25_Q4_Consolidated_Financial_Statements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1D1F"/>
  </sheetPr>
  <dimension ref="A1:X200"/>
  <sheetViews>
    <sheetView showGridLines="0" topLeftCell="A9" zoomScaleNormal="100" workbookViewId="0">
      <selection activeCell="L30" sqref="L30"/>
    </sheetView>
  </sheetViews>
  <sheetFormatPr defaultColWidth="8.6328125" defaultRowHeight="14.5"/>
  <cols>
    <col min="1" max="1" width="1.453125" customWidth="1"/>
    <col min="2" max="2" width="20" customWidth="1"/>
    <col min="3" max="3" width="4" customWidth="1"/>
    <col min="4" max="20" width="10" customWidth="1"/>
    <col min="21" max="21" width="17.26953125" customWidth="1"/>
    <col min="22" max="22" width="1.453125" customWidth="1"/>
    <col min="23" max="23" width="17.26953125" customWidth="1"/>
    <col min="24" max="24" width="1.453125" hidden="1" customWidth="1"/>
    <col min="25" max="26" width="0" hidden="1" customWidth="1"/>
  </cols>
  <sheetData>
    <row r="1" spans="1:24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23">
      <c r="A2" s="44"/>
      <c r="B2" s="45" t="s">
        <v>554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4"/>
    </row>
    <row r="3" spans="1:24">
      <c r="A3" s="44"/>
      <c r="B3" s="46" t="s">
        <v>555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4"/>
    </row>
    <row r="4" spans="1:2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 spans="1:24" ht="18.5">
      <c r="A6" s="44"/>
      <c r="B6" s="52"/>
      <c r="C6" s="49"/>
      <c r="D6" s="50"/>
      <c r="E6" s="50"/>
      <c r="F6" s="58"/>
      <c r="G6" s="49"/>
      <c r="H6" s="50"/>
      <c r="I6" s="50"/>
      <c r="J6" s="58"/>
      <c r="K6" s="49"/>
      <c r="L6" s="50"/>
      <c r="M6" s="50"/>
      <c r="N6" s="58"/>
      <c r="O6" s="49"/>
      <c r="P6" s="50"/>
      <c r="Q6" s="50"/>
      <c r="R6" s="58"/>
      <c r="S6" s="49"/>
      <c r="T6" s="50"/>
      <c r="U6" s="55"/>
      <c r="V6" s="44"/>
      <c r="W6" s="44"/>
      <c r="X6" s="44"/>
    </row>
    <row r="7" spans="1:24" ht="28">
      <c r="A7" s="44"/>
      <c r="B7" s="60"/>
      <c r="C7" s="61" t="s">
        <v>556</v>
      </c>
      <c r="D7" s="62"/>
      <c r="E7" s="62"/>
      <c r="F7" s="60"/>
      <c r="G7" s="61" t="s">
        <v>557</v>
      </c>
      <c r="H7" s="62"/>
      <c r="I7" s="62"/>
      <c r="J7" s="60"/>
      <c r="K7" s="61" t="s">
        <v>558</v>
      </c>
      <c r="L7" s="62"/>
      <c r="M7" s="62"/>
      <c r="N7" s="60"/>
      <c r="O7" s="61" t="s">
        <v>559</v>
      </c>
      <c r="P7" s="62"/>
      <c r="Q7" s="62"/>
      <c r="R7" s="60"/>
      <c r="S7" s="61" t="s">
        <v>560</v>
      </c>
      <c r="T7" s="62"/>
      <c r="U7" s="63"/>
      <c r="V7" s="44"/>
      <c r="W7" s="44"/>
      <c r="X7" s="44"/>
    </row>
    <row r="8" spans="1:24" ht="32.5">
      <c r="A8" s="44"/>
      <c r="B8" s="64"/>
      <c r="C8" s="321" t="str">
        <f>"$"&amp;TEXT(IS!G14/1000,"0.0")&amp;"B"</f>
        <v>$450.3B</v>
      </c>
      <c r="D8" s="321"/>
      <c r="E8" s="322"/>
      <c r="F8" s="64"/>
      <c r="G8" s="321" t="str">
        <f>"$"&amp;TEXT(IS!G38/1000,"0.0")&amp;"B"</f>
        <v>$143.4B</v>
      </c>
      <c r="H8" s="321"/>
      <c r="I8" s="62"/>
      <c r="J8" s="64"/>
      <c r="K8" s="321" t="str">
        <f>"$"&amp;TEXT(CFS!G21/1000,"0.0")&amp;"B"</f>
        <v>$144.1B</v>
      </c>
      <c r="L8" s="321"/>
      <c r="M8" s="62"/>
      <c r="N8" s="65"/>
      <c r="O8" s="321" t="s">
        <v>544</v>
      </c>
      <c r="P8" s="321"/>
      <c r="Q8" s="62"/>
      <c r="R8" s="64"/>
      <c r="S8" s="321" t="str">
        <f>"$"&amp;TEXT(IS!G43,"0.00")</f>
        <v>$9.94</v>
      </c>
      <c r="T8" s="321"/>
      <c r="U8" s="63"/>
      <c r="V8" s="44"/>
      <c r="W8" s="44"/>
      <c r="X8" s="44"/>
    </row>
    <row r="9" spans="1:24">
      <c r="A9" s="44"/>
      <c r="B9" s="66"/>
      <c r="C9" s="320" t="str">
        <f>"▲ "&amp;TEXT(IS!G14/IS!F14-1,"+0.0%;-0.0%")&amp;"  vs FY25A"</f>
        <v>▲ +8.2%  vs FY25A</v>
      </c>
      <c r="D9" s="320"/>
      <c r="E9" s="323"/>
      <c r="F9" s="66"/>
      <c r="G9" s="320" t="str">
        <f>"▲ "&amp;TEXT(IS!G38/IS!F38-1,"+0.0%;-0.0%")&amp;"  vs FY25A"</f>
        <v>▲ +28.0%  vs FY25A</v>
      </c>
      <c r="H9" s="320"/>
      <c r="I9" s="62"/>
      <c r="J9" s="66"/>
      <c r="K9" s="320" t="str">
        <f>"▲ "&amp;TEXT(CFS!G21/CFS!F21-1,"+0.0%;-0.0%")&amp;"  vs FY25A"</f>
        <v>▲ +45.9%  vs FY25A</v>
      </c>
      <c r="L9" s="320"/>
      <c r="M9" s="62"/>
      <c r="N9" s="66"/>
      <c r="O9" s="324" t="str">
        <f>"$"&amp;TEXT(G80/1000,"0.0")&amp;"B ("&amp;TEXT(G80/G$90,"0.0%")&amp;" of mix)"</f>
        <v>$209.6B (50.4% of mix)</v>
      </c>
      <c r="P9" s="324"/>
      <c r="Q9" s="62"/>
      <c r="R9" s="66"/>
      <c r="S9" s="320" t="str">
        <f>"▲ "&amp;TEXT(IS!G43/IS!F43-1,"+0.0%;-0.0%")&amp;"  vs FY25A"</f>
        <v>▲ +33.2%  vs FY25A</v>
      </c>
      <c r="T9" s="320"/>
      <c r="U9" s="63"/>
      <c r="V9" s="44"/>
      <c r="W9" s="44"/>
      <c r="X9" s="44"/>
    </row>
    <row r="10" spans="1:24">
      <c r="A10" s="44"/>
      <c r="B10" s="54"/>
      <c r="C10" s="51"/>
      <c r="D10" s="51"/>
      <c r="E10" s="51"/>
      <c r="F10" s="54"/>
      <c r="G10" s="51"/>
      <c r="H10" s="51"/>
      <c r="I10" s="51"/>
      <c r="J10" s="54"/>
      <c r="K10" s="51"/>
      <c r="L10" s="51"/>
      <c r="M10" s="51"/>
      <c r="N10" s="54"/>
      <c r="O10" s="51"/>
      <c r="P10" s="51"/>
      <c r="Q10" s="51"/>
      <c r="R10" s="54"/>
      <c r="S10" s="51"/>
      <c r="T10" s="51"/>
      <c r="U10" s="57"/>
      <c r="V10" s="44"/>
      <c r="W10" s="44"/>
      <c r="X10" s="44"/>
    </row>
    <row r="11" spans="1:24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spans="1:24">
      <c r="A12" s="44"/>
      <c r="B12" s="168" t="s">
        <v>602</v>
      </c>
      <c r="C12" s="55"/>
      <c r="D12" s="68" t="s">
        <v>562</v>
      </c>
      <c r="E12" s="50"/>
      <c r="F12" s="50"/>
      <c r="G12" s="50"/>
      <c r="H12" s="50"/>
      <c r="I12" s="50"/>
      <c r="J12" s="50"/>
      <c r="K12" s="50"/>
      <c r="L12" s="50"/>
      <c r="M12" s="69" t="s">
        <v>563</v>
      </c>
      <c r="N12" s="70" t="s">
        <v>564</v>
      </c>
      <c r="O12" s="50"/>
      <c r="P12" s="50"/>
      <c r="Q12" s="50"/>
      <c r="R12" s="50"/>
      <c r="S12" s="50"/>
      <c r="T12" s="50"/>
      <c r="U12" s="71" t="s">
        <v>565</v>
      </c>
      <c r="V12" s="44"/>
      <c r="W12" s="44"/>
      <c r="X12" s="44"/>
    </row>
    <row r="13" spans="1:24">
      <c r="A13" s="44"/>
      <c r="B13" s="53"/>
      <c r="C13" s="56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53"/>
      <c r="O13" s="48"/>
      <c r="P13" s="48"/>
      <c r="Q13" s="48"/>
      <c r="R13" s="48"/>
      <c r="S13" s="48"/>
      <c r="T13" s="48"/>
      <c r="U13" s="56"/>
      <c r="V13" s="44"/>
      <c r="W13" s="44"/>
      <c r="X13" s="44"/>
    </row>
    <row r="14" spans="1:24">
      <c r="A14" s="44"/>
      <c r="B14" s="169" t="s">
        <v>0</v>
      </c>
      <c r="C14" s="56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53"/>
      <c r="O14" s="48"/>
      <c r="P14" s="48"/>
      <c r="Q14" s="48"/>
      <c r="R14" s="48"/>
      <c r="S14" s="48"/>
      <c r="T14" s="48"/>
      <c r="U14" s="56"/>
      <c r="V14" s="44"/>
      <c r="W14" s="44"/>
      <c r="X14" s="44"/>
    </row>
    <row r="15" spans="1:24">
      <c r="A15" s="44"/>
      <c r="B15" s="234" t="str">
        <f>Assumptions!B62</f>
        <v>Bull</v>
      </c>
      <c r="C15" s="171" t="s">
        <v>603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53"/>
      <c r="O15" s="48"/>
      <c r="P15" s="48"/>
      <c r="Q15" s="48"/>
      <c r="R15" s="48"/>
      <c r="S15" s="48"/>
      <c r="T15" s="48"/>
      <c r="U15" s="56"/>
      <c r="V15" s="44"/>
      <c r="W15" s="44"/>
      <c r="X15" s="44"/>
    </row>
    <row r="16" spans="1:24">
      <c r="A16" s="44"/>
      <c r="B16" s="53"/>
      <c r="C16" s="56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53"/>
      <c r="O16" s="48"/>
      <c r="P16" s="48"/>
      <c r="Q16" s="48"/>
      <c r="R16" s="48"/>
      <c r="S16" s="48"/>
      <c r="T16" s="48"/>
      <c r="U16" s="56"/>
      <c r="V16" s="44"/>
      <c r="W16" s="44"/>
      <c r="X16" s="44"/>
    </row>
    <row r="17" spans="1:24">
      <c r="A17" s="44"/>
      <c r="B17" s="169" t="s">
        <v>1</v>
      </c>
      <c r="C17" s="56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53"/>
      <c r="O17" s="48"/>
      <c r="P17" s="48"/>
      <c r="Q17" s="48"/>
      <c r="R17" s="48"/>
      <c r="S17" s="48"/>
      <c r="T17" s="48"/>
      <c r="U17" s="56"/>
      <c r="V17" s="44"/>
      <c r="W17" s="44"/>
      <c r="X17" s="44"/>
    </row>
    <row r="18" spans="1:24">
      <c r="A18" s="44"/>
      <c r="B18" s="170" t="s">
        <v>16</v>
      </c>
      <c r="C18" s="171" t="s">
        <v>603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53"/>
      <c r="O18" s="48"/>
      <c r="P18" s="48"/>
      <c r="Q18" s="48"/>
      <c r="R18" s="48"/>
      <c r="S18" s="48"/>
      <c r="T18" s="48"/>
      <c r="U18" s="56"/>
      <c r="V18" s="44"/>
      <c r="W18" s="44"/>
      <c r="X18" s="44"/>
    </row>
    <row r="19" spans="1:24">
      <c r="A19" s="44"/>
      <c r="B19" s="53"/>
      <c r="C19" s="56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53"/>
      <c r="O19" s="48"/>
      <c r="P19" s="48"/>
      <c r="Q19" s="48"/>
      <c r="R19" s="48"/>
      <c r="S19" s="48"/>
      <c r="T19" s="48"/>
      <c r="U19" s="56"/>
      <c r="V19" s="44"/>
      <c r="W19" s="44"/>
      <c r="X19" s="44"/>
    </row>
    <row r="20" spans="1:24">
      <c r="A20" s="44"/>
      <c r="B20" s="169" t="s">
        <v>2</v>
      </c>
      <c r="C20" s="56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53"/>
      <c r="O20" s="48"/>
      <c r="P20" s="48"/>
      <c r="Q20" s="48"/>
      <c r="R20" s="48"/>
      <c r="S20" s="48"/>
      <c r="T20" s="48"/>
      <c r="U20" s="56"/>
      <c r="V20" s="44"/>
      <c r="W20" s="44"/>
      <c r="X20" s="44"/>
    </row>
    <row r="21" spans="1:24">
      <c r="A21" s="44"/>
      <c r="B21" s="170" t="s">
        <v>548</v>
      </c>
      <c r="C21" s="171" t="s">
        <v>603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53"/>
      <c r="O21" s="48"/>
      <c r="P21" s="48"/>
      <c r="Q21" s="48"/>
      <c r="R21" s="48"/>
      <c r="S21" s="48"/>
      <c r="T21" s="48"/>
      <c r="U21" s="56"/>
      <c r="V21" s="44"/>
      <c r="W21" s="44"/>
      <c r="X21" s="44"/>
    </row>
    <row r="22" spans="1:24">
      <c r="A22" s="44"/>
      <c r="B22" s="53"/>
      <c r="C22" s="56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53"/>
      <c r="O22" s="48"/>
      <c r="P22" s="48"/>
      <c r="Q22" s="48"/>
      <c r="R22" s="48"/>
      <c r="S22" s="48"/>
      <c r="T22" s="48"/>
      <c r="U22" s="56"/>
      <c r="V22" s="44"/>
      <c r="W22" s="44"/>
      <c r="X22" s="44"/>
    </row>
    <row r="23" spans="1:24">
      <c r="A23" s="44"/>
      <c r="B23" s="169" t="s">
        <v>561</v>
      </c>
      <c r="C23" s="56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53"/>
      <c r="O23" s="48"/>
      <c r="P23" s="48"/>
      <c r="Q23" s="48"/>
      <c r="R23" s="48"/>
      <c r="S23" s="48"/>
      <c r="T23" s="48"/>
      <c r="U23" s="56"/>
      <c r="V23" s="44"/>
      <c r="W23" s="44"/>
      <c r="X23" s="44"/>
    </row>
    <row r="24" spans="1:24">
      <c r="A24" s="44"/>
      <c r="B24" s="170" t="s">
        <v>532</v>
      </c>
      <c r="C24" s="171" t="s">
        <v>603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53"/>
      <c r="O24" s="48"/>
      <c r="P24" s="48"/>
      <c r="Q24" s="48"/>
      <c r="R24" s="48"/>
      <c r="S24" s="48"/>
      <c r="T24" s="48"/>
      <c r="U24" s="56"/>
      <c r="V24" s="44"/>
      <c r="W24" s="44"/>
      <c r="X24" s="44"/>
    </row>
    <row r="25" spans="1:24">
      <c r="A25" s="44"/>
      <c r="B25" s="53"/>
      <c r="C25" s="56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53"/>
      <c r="O25" s="48"/>
      <c r="P25" s="48"/>
      <c r="Q25" s="48"/>
      <c r="R25" s="48"/>
      <c r="S25" s="48"/>
      <c r="T25" s="48"/>
      <c r="U25" s="56"/>
      <c r="V25" s="44"/>
      <c r="W25" s="44"/>
      <c r="X25" s="44"/>
    </row>
    <row r="26" spans="1:24">
      <c r="A26" s="44"/>
      <c r="B26" s="172"/>
      <c r="C26" s="56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4"/>
      <c r="O26" s="51"/>
      <c r="P26" s="51"/>
      <c r="Q26" s="51"/>
      <c r="R26" s="51"/>
      <c r="S26" s="51"/>
      <c r="T26" s="51"/>
      <c r="U26" s="57"/>
      <c r="V26" s="44"/>
      <c r="W26" s="44"/>
      <c r="X26" s="44"/>
    </row>
    <row r="27" spans="1:24">
      <c r="A27" s="44"/>
      <c r="B27" s="173" t="s">
        <v>604</v>
      </c>
      <c r="C27" s="56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spans="1:24">
      <c r="A28" s="44"/>
      <c r="B28" s="174" t="s">
        <v>605</v>
      </c>
      <c r="C28" s="56"/>
      <c r="D28" s="68" t="s">
        <v>566</v>
      </c>
      <c r="E28" s="50"/>
      <c r="F28" s="50"/>
      <c r="G28" s="50"/>
      <c r="H28" s="70" t="s">
        <v>564</v>
      </c>
      <c r="I28" s="50"/>
      <c r="J28" s="50"/>
      <c r="K28" s="50"/>
      <c r="L28" s="50"/>
      <c r="M28" s="69" t="s">
        <v>742</v>
      </c>
      <c r="N28" s="70" t="s">
        <v>568</v>
      </c>
      <c r="O28" s="50"/>
      <c r="P28" s="50"/>
      <c r="Q28" s="50"/>
      <c r="R28" s="50"/>
      <c r="S28" s="50"/>
      <c r="T28" s="50"/>
      <c r="U28" s="55"/>
      <c r="V28" s="44"/>
      <c r="W28" s="44"/>
      <c r="X28" s="44"/>
    </row>
    <row r="29" spans="1:24">
      <c r="A29" s="44"/>
      <c r="B29" s="167"/>
      <c r="C29" s="57"/>
      <c r="D29" s="48"/>
      <c r="E29" s="48"/>
      <c r="F29" s="48"/>
      <c r="G29" s="48"/>
      <c r="H29" s="53"/>
      <c r="I29" s="48"/>
      <c r="J29" s="48"/>
      <c r="K29" s="48"/>
      <c r="L29" s="48"/>
      <c r="M29" s="48"/>
      <c r="N29" s="53"/>
      <c r="O29" s="48"/>
      <c r="P29" s="48"/>
      <c r="Q29" s="48"/>
      <c r="R29" s="48"/>
      <c r="S29" s="48"/>
      <c r="T29" s="48"/>
      <c r="U29" s="56"/>
      <c r="V29" s="44"/>
      <c r="W29" s="44"/>
      <c r="X29" s="44"/>
    </row>
    <row r="30" spans="1:24">
      <c r="A30" s="44"/>
      <c r="B30" s="44"/>
      <c r="C30" s="44"/>
      <c r="D30" s="53"/>
      <c r="E30" s="48"/>
      <c r="F30" s="48"/>
      <c r="G30" s="48"/>
      <c r="H30" s="72" t="s">
        <v>576</v>
      </c>
      <c r="I30" s="48"/>
      <c r="J30" s="48"/>
      <c r="K30" s="73"/>
      <c r="L30" s="73" t="s">
        <v>304</v>
      </c>
      <c r="M30" s="73" t="s">
        <v>743</v>
      </c>
      <c r="N30" s="53"/>
      <c r="O30" s="48"/>
      <c r="P30" s="48"/>
      <c r="Q30" s="48"/>
      <c r="R30" s="48"/>
      <c r="S30" s="48"/>
      <c r="T30" s="48"/>
      <c r="U30" s="56"/>
      <c r="V30" s="44"/>
      <c r="W30" s="44"/>
      <c r="X30" s="44"/>
    </row>
    <row r="31" spans="1:24">
      <c r="A31" s="44"/>
      <c r="B31" s="44"/>
      <c r="C31" s="44"/>
      <c r="D31" s="53"/>
      <c r="E31" s="48"/>
      <c r="F31" s="48"/>
      <c r="G31" s="48"/>
      <c r="H31" s="67" t="s">
        <v>532</v>
      </c>
      <c r="I31" s="48"/>
      <c r="J31" s="48"/>
      <c r="K31" s="315" t="str">
        <f>REPT("█",ROUND(M31*40,0))</f>
        <v>█████████████████</v>
      </c>
      <c r="L31" s="316">
        <f>IS!F52/1000</f>
        <v>178.35300000000001</v>
      </c>
      <c r="M31" s="314">
        <f>IS!F52/IS!F57</f>
        <v>0.42856730928655018</v>
      </c>
      <c r="N31" s="53"/>
      <c r="O31" s="48"/>
      <c r="P31" s="48"/>
      <c r="Q31" s="48"/>
      <c r="R31" s="48"/>
      <c r="S31" s="48"/>
      <c r="T31" s="48"/>
      <c r="U31" s="56"/>
      <c r="V31" s="44"/>
      <c r="W31" s="44"/>
      <c r="X31" s="44"/>
    </row>
    <row r="32" spans="1:24">
      <c r="A32" s="44"/>
      <c r="B32" s="44"/>
      <c r="C32" s="44"/>
      <c r="D32" s="53"/>
      <c r="E32" s="48"/>
      <c r="F32" s="48"/>
      <c r="G32" s="48"/>
      <c r="H32" s="67" t="s">
        <v>533</v>
      </c>
      <c r="I32" s="48"/>
      <c r="J32" s="48"/>
      <c r="K32" s="315" t="str">
        <f>REPT("█",ROUND(M32*40,0))</f>
        <v>███████████</v>
      </c>
      <c r="L32" s="316">
        <f>IS!F53/1000</f>
        <v>111.032</v>
      </c>
      <c r="M32" s="314">
        <f>IS!F53/IS!F57</f>
        <v>0.26680058919504712</v>
      </c>
      <c r="N32" s="53"/>
      <c r="O32" s="48"/>
      <c r="P32" s="48"/>
      <c r="Q32" s="48"/>
      <c r="R32" s="48"/>
      <c r="S32" s="48"/>
      <c r="T32" s="48"/>
      <c r="U32" s="56"/>
      <c r="V32" s="44"/>
      <c r="W32" s="44"/>
      <c r="X32" s="44"/>
    </row>
    <row r="33" spans="1:24">
      <c r="A33" s="44"/>
      <c r="B33" s="44"/>
      <c r="C33" s="44"/>
      <c r="D33" s="53"/>
      <c r="E33" s="48"/>
      <c r="F33" s="48"/>
      <c r="G33" s="48"/>
      <c r="H33" s="67" t="s">
        <v>534</v>
      </c>
      <c r="I33" s="48"/>
      <c r="J33" s="48"/>
      <c r="K33" s="315" t="str">
        <f>REPT("█",ROUND(M33*40,0))</f>
        <v>██████</v>
      </c>
      <c r="L33" s="316">
        <f>IS!F54/1000</f>
        <v>64.376999999999995</v>
      </c>
      <c r="M33" s="314">
        <f>IS!F54/IS!F57</f>
        <v>0.15469253486030646</v>
      </c>
      <c r="N33" s="53"/>
      <c r="O33" s="48"/>
      <c r="P33" s="48"/>
      <c r="Q33" s="48"/>
      <c r="R33" s="48"/>
      <c r="S33" s="48"/>
      <c r="T33" s="48"/>
      <c r="U33" s="56"/>
      <c r="V33" s="44"/>
      <c r="W33" s="44"/>
      <c r="X33" s="44"/>
    </row>
    <row r="34" spans="1:24">
      <c r="A34" s="44"/>
      <c r="B34" s="44"/>
      <c r="C34" s="44"/>
      <c r="D34" s="53"/>
      <c r="E34" s="48"/>
      <c r="F34" s="48"/>
      <c r="G34" s="48"/>
      <c r="H34" s="67" t="s">
        <v>536</v>
      </c>
      <c r="I34" s="48"/>
      <c r="J34" s="48"/>
      <c r="K34" s="315" t="str">
        <f>REPT("█",ROUND(M34*40,0))</f>
        <v>███</v>
      </c>
      <c r="L34" s="316">
        <f>IS!F56/1000</f>
        <v>33.695999999999998</v>
      </c>
      <c r="M34" s="314">
        <f>IS!F56/IS!F57</f>
        <v>8.0968663570108679E-2</v>
      </c>
      <c r="N34" s="53"/>
      <c r="O34" s="48"/>
      <c r="P34" s="48"/>
      <c r="Q34" s="48"/>
      <c r="R34" s="48"/>
      <c r="S34" s="48"/>
      <c r="T34" s="48"/>
      <c r="U34" s="56"/>
      <c r="V34" s="44"/>
      <c r="W34" s="44"/>
      <c r="X34" s="44"/>
    </row>
    <row r="35" spans="1:24">
      <c r="A35" s="44"/>
      <c r="B35" s="44"/>
      <c r="C35" s="44"/>
      <c r="D35" s="53"/>
      <c r="E35" s="48"/>
      <c r="F35" s="48"/>
      <c r="G35" s="48"/>
      <c r="H35" s="67" t="s">
        <v>535</v>
      </c>
      <c r="I35" s="48"/>
      <c r="J35" s="48"/>
      <c r="K35" s="315" t="str">
        <f>REPT("█",ROUND(M35*40,0))</f>
        <v>███</v>
      </c>
      <c r="L35" s="316">
        <f>IS!F55/1000</f>
        <v>28.702999999999999</v>
      </c>
      <c r="M35" s="314">
        <f>IS!F55/IS!F57</f>
        <v>6.8970903087987576E-2</v>
      </c>
      <c r="N35" s="53"/>
      <c r="O35" s="48"/>
      <c r="P35" s="48"/>
      <c r="Q35" s="48"/>
      <c r="R35" s="48"/>
      <c r="S35" s="48"/>
      <c r="T35" s="48"/>
      <c r="U35" s="56"/>
      <c r="V35" s="44"/>
      <c r="W35" s="44"/>
      <c r="X35" s="44"/>
    </row>
    <row r="36" spans="1:24">
      <c r="A36" s="44"/>
      <c r="B36" s="44"/>
      <c r="C36" s="44"/>
      <c r="D36" s="53"/>
      <c r="E36" s="48"/>
      <c r="F36" s="48"/>
      <c r="G36" s="48"/>
      <c r="H36" s="74"/>
      <c r="I36" s="48"/>
      <c r="J36" s="48"/>
      <c r="K36" s="75"/>
      <c r="L36" s="75"/>
      <c r="M36" s="75"/>
      <c r="N36" s="53"/>
      <c r="O36" s="48"/>
      <c r="P36" s="48"/>
      <c r="Q36" s="48"/>
      <c r="R36" s="48"/>
      <c r="S36" s="48"/>
      <c r="T36" s="48"/>
      <c r="U36" s="56"/>
      <c r="V36" s="44"/>
      <c r="W36" s="44"/>
      <c r="X36" s="44"/>
    </row>
    <row r="37" spans="1:24">
      <c r="A37" s="44"/>
      <c r="B37" s="44"/>
      <c r="C37" s="44"/>
      <c r="D37" s="53"/>
      <c r="E37" s="48"/>
      <c r="F37" s="48"/>
      <c r="G37" s="48"/>
      <c r="H37" s="74" t="s">
        <v>542</v>
      </c>
      <c r="I37" s="48"/>
      <c r="J37" s="48"/>
      <c r="K37" s="48"/>
      <c r="L37" s="317">
        <f>IS!F57/1000</f>
        <v>416.161</v>
      </c>
      <c r="M37" s="314">
        <f>L37/L37</f>
        <v>1</v>
      </c>
      <c r="N37" s="53"/>
      <c r="O37" s="48"/>
      <c r="P37" s="48"/>
      <c r="Q37" s="48"/>
      <c r="R37" s="48"/>
      <c r="S37" s="48"/>
      <c r="T37" s="48"/>
      <c r="U37" s="56"/>
      <c r="V37" s="44"/>
      <c r="W37" s="44"/>
      <c r="X37" s="44"/>
    </row>
    <row r="38" spans="1:24">
      <c r="A38" s="44"/>
      <c r="B38" s="44"/>
      <c r="C38" s="44"/>
      <c r="D38" s="53"/>
      <c r="E38" s="48"/>
      <c r="F38" s="48"/>
      <c r="G38" s="48"/>
      <c r="H38" s="53"/>
      <c r="I38" s="48"/>
      <c r="J38" s="48"/>
      <c r="K38" s="48"/>
      <c r="L38" s="48"/>
      <c r="M38" s="48"/>
      <c r="N38" s="53"/>
      <c r="O38" s="48"/>
      <c r="P38" s="48"/>
      <c r="Q38" s="48"/>
      <c r="R38" s="48"/>
      <c r="S38" s="48"/>
      <c r="T38" s="48"/>
      <c r="U38" s="56"/>
      <c r="V38" s="44"/>
      <c r="W38" s="44"/>
      <c r="X38" s="44"/>
    </row>
    <row r="39" spans="1:24">
      <c r="A39" s="44"/>
      <c r="B39" s="44"/>
      <c r="C39" s="44"/>
      <c r="D39" s="53"/>
      <c r="E39" s="48"/>
      <c r="F39" s="48"/>
      <c r="G39" s="48"/>
      <c r="H39" s="53"/>
      <c r="I39" s="48"/>
      <c r="J39" s="48"/>
      <c r="K39" s="48"/>
      <c r="L39" s="48"/>
      <c r="M39" s="48"/>
      <c r="N39" s="53"/>
      <c r="O39" s="48"/>
      <c r="P39" s="48"/>
      <c r="Q39" s="48"/>
      <c r="R39" s="48"/>
      <c r="S39" s="48"/>
      <c r="T39" s="48"/>
      <c r="U39" s="56"/>
      <c r="V39" s="44"/>
      <c r="W39" s="44"/>
      <c r="X39" s="44"/>
    </row>
    <row r="40" spans="1:24">
      <c r="A40" s="44"/>
      <c r="B40" s="44"/>
      <c r="C40" s="44"/>
      <c r="D40" s="53"/>
      <c r="E40" s="48"/>
      <c r="F40" s="48"/>
      <c r="G40" s="48"/>
      <c r="H40" s="53"/>
      <c r="I40" s="48"/>
      <c r="J40" s="48"/>
      <c r="K40" s="48"/>
      <c r="L40" s="48"/>
      <c r="M40" s="48"/>
      <c r="N40" s="53"/>
      <c r="O40" s="48"/>
      <c r="P40" s="48"/>
      <c r="Q40" s="48"/>
      <c r="R40" s="48"/>
      <c r="S40" s="48"/>
      <c r="T40" s="48"/>
      <c r="U40" s="56"/>
      <c r="V40" s="44"/>
      <c r="W40" s="44"/>
      <c r="X40" s="44"/>
    </row>
    <row r="41" spans="1:24">
      <c r="A41" s="44"/>
      <c r="B41" s="44"/>
      <c r="C41" s="44"/>
      <c r="D41" s="53"/>
      <c r="E41" s="48"/>
      <c r="F41" s="48"/>
      <c r="G41" s="48"/>
      <c r="H41" s="53"/>
      <c r="I41" s="48"/>
      <c r="J41" s="48"/>
      <c r="K41" s="48"/>
      <c r="L41" s="48"/>
      <c r="M41" s="48"/>
      <c r="N41" s="53"/>
      <c r="O41" s="48"/>
      <c r="P41" s="48"/>
      <c r="Q41" s="48"/>
      <c r="R41" s="48"/>
      <c r="S41" s="48"/>
      <c r="T41" s="48"/>
      <c r="U41" s="56"/>
      <c r="V41" s="44"/>
      <c r="W41" s="44"/>
      <c r="X41" s="44"/>
    </row>
    <row r="42" spans="1:24">
      <c r="A42" s="44"/>
      <c r="B42" s="44"/>
      <c r="C42" s="44"/>
      <c r="D42" s="53"/>
      <c r="E42" s="48"/>
      <c r="F42" s="48"/>
      <c r="G42" s="48"/>
      <c r="H42" s="53"/>
      <c r="I42" s="48"/>
      <c r="J42" s="48"/>
      <c r="K42" s="48"/>
      <c r="L42" s="48"/>
      <c r="M42" s="48"/>
      <c r="N42" s="53"/>
      <c r="O42" s="48"/>
      <c r="P42" s="48"/>
      <c r="Q42" s="48"/>
      <c r="R42" s="48"/>
      <c r="S42" s="48"/>
      <c r="T42" s="48"/>
      <c r="U42" s="56"/>
      <c r="V42" s="44"/>
      <c r="W42" s="44"/>
      <c r="X42" s="44"/>
    </row>
    <row r="43" spans="1:24">
      <c r="A43" s="44"/>
      <c r="B43" s="44"/>
      <c r="C43" s="44"/>
      <c r="D43" s="54"/>
      <c r="E43" s="51"/>
      <c r="F43" s="51"/>
      <c r="G43" s="51"/>
      <c r="H43" s="54"/>
      <c r="I43" s="51"/>
      <c r="J43" s="51"/>
      <c r="K43" s="51"/>
      <c r="L43" s="51"/>
      <c r="M43" s="51"/>
      <c r="N43" s="54"/>
      <c r="O43" s="51"/>
      <c r="P43" s="51"/>
      <c r="Q43" s="51"/>
      <c r="R43" s="51"/>
      <c r="S43" s="51"/>
      <c r="T43" s="51"/>
      <c r="U43" s="57"/>
      <c r="V43" s="44"/>
      <c r="W43" s="44"/>
      <c r="X43" s="44"/>
    </row>
    <row r="44" spans="1:2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spans="1:24">
      <c r="A45" s="44"/>
      <c r="B45" s="44"/>
      <c r="C45" s="44"/>
      <c r="D45" s="70" t="s">
        <v>569</v>
      </c>
      <c r="E45" s="50"/>
      <c r="F45" s="50"/>
      <c r="G45" s="50"/>
      <c r="H45" s="50"/>
      <c r="I45" s="50"/>
      <c r="J45" s="50"/>
      <c r="K45" s="50"/>
      <c r="L45" s="50"/>
      <c r="M45" s="69" t="s">
        <v>567</v>
      </c>
      <c r="N45" s="70" t="s">
        <v>570</v>
      </c>
      <c r="O45" s="50"/>
      <c r="P45" s="50"/>
      <c r="Q45" s="50"/>
      <c r="R45" s="50"/>
      <c r="S45" s="50"/>
      <c r="T45" s="50"/>
      <c r="U45" s="71" t="s">
        <v>571</v>
      </c>
      <c r="V45" s="44"/>
      <c r="W45" s="44"/>
      <c r="X45" s="44"/>
    </row>
    <row r="46" spans="1:24">
      <c r="A46" s="44"/>
      <c r="B46" s="44"/>
      <c r="C46" s="44"/>
      <c r="D46" s="53"/>
      <c r="E46" s="48"/>
      <c r="F46" s="48"/>
      <c r="G46" s="48"/>
      <c r="H46" s="48"/>
      <c r="I46" s="48"/>
      <c r="J46" s="48"/>
      <c r="K46" s="48"/>
      <c r="L46" s="48"/>
      <c r="M46" s="48"/>
      <c r="N46" s="53"/>
      <c r="O46" s="48"/>
      <c r="P46" s="48"/>
      <c r="Q46" s="48"/>
      <c r="R46" s="48"/>
      <c r="S46" s="48"/>
      <c r="T46" s="48"/>
      <c r="U46" s="56"/>
      <c r="V46" s="44"/>
      <c r="W46" s="44"/>
      <c r="X46" s="44"/>
    </row>
    <row r="47" spans="1:24">
      <c r="A47" s="44"/>
      <c r="B47" s="44"/>
      <c r="C47" s="44"/>
      <c r="D47" s="72" t="s">
        <v>580</v>
      </c>
      <c r="E47" s="48"/>
      <c r="F47" s="48"/>
      <c r="G47" s="73" t="s">
        <v>13</v>
      </c>
      <c r="H47" s="73" t="s">
        <v>14</v>
      </c>
      <c r="I47" s="73" t="s">
        <v>15</v>
      </c>
      <c r="J47" s="73" t="s">
        <v>4</v>
      </c>
      <c r="K47" s="79" t="s">
        <v>16</v>
      </c>
      <c r="L47" s="79" t="s">
        <v>17</v>
      </c>
      <c r="M47" s="79" t="s">
        <v>692</v>
      </c>
      <c r="N47" s="246"/>
      <c r="O47" s="48"/>
      <c r="P47" s="48"/>
      <c r="Q47" s="48"/>
      <c r="R47" s="48"/>
      <c r="S47" s="48"/>
      <c r="T47" s="48"/>
      <c r="U47" s="56"/>
      <c r="V47" s="44"/>
      <c r="W47" s="44"/>
      <c r="X47" s="44"/>
    </row>
    <row r="48" spans="1:24">
      <c r="A48" s="44"/>
      <c r="B48" s="44"/>
      <c r="C48" s="44"/>
      <c r="D48" s="74" t="s">
        <v>581</v>
      </c>
      <c r="E48" s="48"/>
      <c r="F48" s="48"/>
      <c r="G48" s="85">
        <f>IS!D14</f>
        <v>383285</v>
      </c>
      <c r="H48" s="85">
        <f>IS!E14</f>
        <v>391035</v>
      </c>
      <c r="I48" s="85">
        <f>IS!F14</f>
        <v>416161</v>
      </c>
      <c r="J48" s="85">
        <f>IS!G14</f>
        <v>450257.23</v>
      </c>
      <c r="K48" s="85">
        <f>IS!H14</f>
        <v>487661.72470000002</v>
      </c>
      <c r="L48" s="85">
        <f>IS!I14</f>
        <v>528747.75377500011</v>
      </c>
      <c r="M48" s="85">
        <f>IS!J14</f>
        <v>573935.25558583019</v>
      </c>
      <c r="N48" s="247"/>
      <c r="O48" s="48"/>
      <c r="P48" s="48"/>
      <c r="Q48" s="48"/>
      <c r="R48" s="48"/>
      <c r="S48" s="48"/>
      <c r="T48" s="48"/>
      <c r="U48" s="56"/>
      <c r="V48" s="44"/>
      <c r="W48" s="44"/>
      <c r="X48" s="44"/>
    </row>
    <row r="49" spans="1:24">
      <c r="A49" s="44"/>
      <c r="B49" s="44"/>
      <c r="C49" s="44"/>
      <c r="D49" s="59" t="s">
        <v>582</v>
      </c>
      <c r="E49" s="48"/>
      <c r="F49" s="85"/>
      <c r="G49" s="85">
        <f>-(IS!D18+IS!D19)</f>
        <v>-214137</v>
      </c>
      <c r="H49" s="85">
        <f>-(IS!E18+IS!E19)</f>
        <v>-210352</v>
      </c>
      <c r="I49" s="85">
        <f>-(IS!F18+IS!F19)</f>
        <v>-220960</v>
      </c>
      <c r="J49" s="85">
        <f>-(IS!G18+IS!G19)</f>
        <v>-221238.00684999998</v>
      </c>
      <c r="K49" s="85">
        <f>-(IS!H18+IS!H19)</f>
        <v>-236960.57489649998</v>
      </c>
      <c r="L49" s="85">
        <f>-(IS!I18+IS!I19)</f>
        <v>-253959.02101412503</v>
      </c>
      <c r="M49" s="85">
        <f>-(IS!J18+IS!J19)</f>
        <v>-272355.15964408888</v>
      </c>
      <c r="N49" s="247"/>
      <c r="O49" s="48"/>
      <c r="P49" s="48"/>
      <c r="Q49" s="48"/>
      <c r="R49" s="48"/>
      <c r="S49" s="48"/>
      <c r="T49" s="48"/>
      <c r="U49" s="56"/>
      <c r="V49" s="44"/>
      <c r="W49" s="44"/>
      <c r="X49" s="44"/>
    </row>
    <row r="50" spans="1:24">
      <c r="A50" s="44"/>
      <c r="B50" s="44"/>
      <c r="C50" s="44"/>
      <c r="D50" s="74" t="s">
        <v>583</v>
      </c>
      <c r="E50" s="48"/>
      <c r="F50" s="85"/>
      <c r="G50" s="85">
        <f>IS!D21</f>
        <v>169148</v>
      </c>
      <c r="H50" s="85">
        <f>IS!E21</f>
        <v>180683</v>
      </c>
      <c r="I50" s="85">
        <f>IS!F21</f>
        <v>195201</v>
      </c>
      <c r="J50" s="85">
        <f>IS!G21</f>
        <v>229019.22315000001</v>
      </c>
      <c r="K50" s="85">
        <f>IS!H21</f>
        <v>250701.14980350004</v>
      </c>
      <c r="L50" s="85">
        <f>IS!I21</f>
        <v>274788.73276087508</v>
      </c>
      <c r="M50" s="85">
        <f>IS!J21</f>
        <v>301580.09594174131</v>
      </c>
      <c r="N50" s="247"/>
      <c r="O50" s="48"/>
      <c r="P50" s="48"/>
      <c r="Q50" s="48"/>
      <c r="R50" s="48"/>
      <c r="S50" s="48"/>
      <c r="T50" s="48"/>
      <c r="U50" s="56"/>
      <c r="V50" s="44"/>
      <c r="W50" s="44"/>
      <c r="X50" s="44"/>
    </row>
    <row r="51" spans="1:24">
      <c r="A51" s="44"/>
      <c r="B51" s="44"/>
      <c r="C51" s="44"/>
      <c r="D51" s="59" t="s">
        <v>584</v>
      </c>
      <c r="E51" s="48"/>
      <c r="F51" s="85"/>
      <c r="G51" s="85">
        <f>-IS!D25</f>
        <v>-29915</v>
      </c>
      <c r="H51" s="85">
        <f>-IS!E25</f>
        <v>-31370</v>
      </c>
      <c r="I51" s="85">
        <f>-IS!F25</f>
        <v>-34550</v>
      </c>
      <c r="J51" s="85">
        <f>-IS!G25</f>
        <v>-36277.5</v>
      </c>
      <c r="K51" s="85">
        <f>-IS!H25</f>
        <v>-38091.375</v>
      </c>
      <c r="L51" s="85">
        <f>-IS!I25</f>
        <v>-39995.943749999999</v>
      </c>
      <c r="M51" s="85">
        <f>-IS!J25</f>
        <v>-41995.740937499999</v>
      </c>
      <c r="N51" s="247"/>
      <c r="O51" s="48"/>
      <c r="P51" s="48"/>
      <c r="Q51" s="48"/>
      <c r="R51" s="48"/>
      <c r="S51" s="48"/>
      <c r="T51" s="48"/>
      <c r="U51" s="56"/>
      <c r="V51" s="44"/>
      <c r="W51" s="44"/>
      <c r="X51" s="44"/>
    </row>
    <row r="52" spans="1:24">
      <c r="A52" s="44"/>
      <c r="B52" s="44"/>
      <c r="C52" s="44"/>
      <c r="D52" s="59" t="s">
        <v>585</v>
      </c>
      <c r="E52" s="48"/>
      <c r="F52" s="85"/>
      <c r="G52" s="85">
        <f>-IS!D26</f>
        <v>-24932</v>
      </c>
      <c r="H52" s="85">
        <f>-IS!E26</f>
        <v>-26097</v>
      </c>
      <c r="I52" s="85">
        <f>-IS!F26</f>
        <v>-27601</v>
      </c>
      <c r="J52" s="85">
        <f>-IS!G26</f>
        <v>-28429.030000000002</v>
      </c>
      <c r="K52" s="85">
        <f>-IS!H26</f>
        <v>-29281.900900000004</v>
      </c>
      <c r="L52" s="85">
        <f>-IS!I26</f>
        <v>-30160.357927000005</v>
      </c>
      <c r="M52" s="85">
        <f>-IS!J26</f>
        <v>-31065.168664810004</v>
      </c>
      <c r="N52" s="247"/>
      <c r="O52" s="48"/>
      <c r="P52" s="48"/>
      <c r="Q52" s="48"/>
      <c r="R52" s="48"/>
      <c r="S52" s="48"/>
      <c r="T52" s="48"/>
      <c r="U52" s="56"/>
      <c r="V52" s="44"/>
      <c r="W52" s="44"/>
      <c r="X52" s="44"/>
    </row>
    <row r="53" spans="1:24">
      <c r="A53" s="44"/>
      <c r="B53" s="44"/>
      <c r="C53" s="44"/>
      <c r="D53" s="74" t="s">
        <v>586</v>
      </c>
      <c r="E53" s="48"/>
      <c r="F53" s="85"/>
      <c r="G53" s="85">
        <f>IS!D28</f>
        <v>114301</v>
      </c>
      <c r="H53" s="85">
        <f>IS!E28</f>
        <v>123216</v>
      </c>
      <c r="I53" s="85">
        <f>IS!F28</f>
        <v>133050</v>
      </c>
      <c r="J53" s="85">
        <f>IS!G28</f>
        <v>164312.69315000001</v>
      </c>
      <c r="K53" s="85">
        <f>IS!H28</f>
        <v>183327.87390350003</v>
      </c>
      <c r="L53" s="85">
        <f>IS!I28</f>
        <v>204632.43108387507</v>
      </c>
      <c r="M53" s="85">
        <f>IS!J28</f>
        <v>228519.18633943133</v>
      </c>
      <c r="N53" s="247"/>
      <c r="O53" s="48"/>
      <c r="P53" s="48"/>
      <c r="Q53" s="48"/>
      <c r="R53" s="48"/>
      <c r="S53" s="48"/>
      <c r="T53" s="48"/>
      <c r="U53" s="56"/>
      <c r="V53" s="44"/>
      <c r="W53" s="44"/>
      <c r="X53" s="44"/>
    </row>
    <row r="54" spans="1:24">
      <c r="A54" s="44"/>
      <c r="B54" s="44"/>
      <c r="C54" s="44"/>
      <c r="D54" s="59" t="s">
        <v>587</v>
      </c>
      <c r="E54" s="48"/>
      <c r="F54" s="85"/>
      <c r="G54" s="85">
        <f>-IS!D36</f>
        <v>-16741</v>
      </c>
      <c r="H54" s="85">
        <f>-IS!E36</f>
        <v>-29749</v>
      </c>
      <c r="I54" s="85">
        <f>-IS!F36</f>
        <v>-20719</v>
      </c>
      <c r="J54" s="85">
        <f>-IS!G36</f>
        <v>-21425.650109500002</v>
      </c>
      <c r="K54" s="85">
        <f>-IS!H36</f>
        <v>-23897.623607455003</v>
      </c>
      <c r="L54" s="85">
        <f>-IS!I36</f>
        <v>-26667.216040903761</v>
      </c>
      <c r="M54" s="85">
        <f>-IS!J36</f>
        <v>-29772.494224126072</v>
      </c>
      <c r="N54" s="247"/>
      <c r="O54" s="48"/>
      <c r="P54" s="48"/>
      <c r="Q54" s="48"/>
      <c r="R54" s="48"/>
      <c r="S54" s="48"/>
      <c r="T54" s="48"/>
      <c r="U54" s="56"/>
      <c r="V54" s="44"/>
      <c r="W54" s="44"/>
      <c r="X54" s="44"/>
    </row>
    <row r="55" spans="1:24">
      <c r="A55" s="44"/>
      <c r="B55" s="44"/>
      <c r="C55" s="44"/>
      <c r="D55" s="74" t="s">
        <v>588</v>
      </c>
      <c r="E55" s="48"/>
      <c r="F55" s="85"/>
      <c r="G55" s="85">
        <f>IS!D38</f>
        <v>96995</v>
      </c>
      <c r="H55" s="85">
        <f>IS!E38</f>
        <v>93736</v>
      </c>
      <c r="I55" s="85">
        <f>IS!F38</f>
        <v>112010</v>
      </c>
      <c r="J55" s="85">
        <f>IS!G38</f>
        <v>143387.04304049999</v>
      </c>
      <c r="K55" s="85">
        <f>IS!H38</f>
        <v>159930.25029604504</v>
      </c>
      <c r="L55" s="85">
        <f>IS!I38</f>
        <v>178465.21504297131</v>
      </c>
      <c r="M55" s="85">
        <f>IS!J38</f>
        <v>199246.69211530525</v>
      </c>
      <c r="N55" s="247"/>
      <c r="O55" s="48"/>
      <c r="P55" s="48"/>
      <c r="Q55" s="48"/>
      <c r="R55" s="48"/>
      <c r="S55" s="48"/>
      <c r="T55" s="48"/>
      <c r="U55" s="56"/>
      <c r="V55" s="44"/>
      <c r="W55" s="44"/>
      <c r="X55" s="44"/>
    </row>
    <row r="56" spans="1:24">
      <c r="A56" s="44"/>
      <c r="B56" s="44"/>
      <c r="C56" s="44"/>
      <c r="D56" s="59" t="s">
        <v>191</v>
      </c>
      <c r="E56" s="48"/>
      <c r="F56" s="86"/>
      <c r="G56" s="86">
        <f>IS!D43</f>
        <v>6.13</v>
      </c>
      <c r="H56" s="86">
        <f>IS!E43</f>
        <v>6.08</v>
      </c>
      <c r="I56" s="86">
        <f>IS!F43</f>
        <v>7.46</v>
      </c>
      <c r="J56" s="86">
        <f>IS!G43</f>
        <v>9.93580428651034</v>
      </c>
      <c r="K56" s="86">
        <f>IS!H43</f>
        <v>11.585546147006289</v>
      </c>
      <c r="L56" s="86">
        <f>IS!I43</f>
        <v>13.701319632495689</v>
      </c>
      <c r="M56" s="86">
        <f>IS!J43</f>
        <v>16.436705494111337</v>
      </c>
      <c r="N56" s="248"/>
      <c r="O56" s="48"/>
      <c r="P56" s="48"/>
      <c r="Q56" s="48"/>
      <c r="R56" s="48"/>
      <c r="S56" s="48"/>
      <c r="T56" s="48"/>
      <c r="U56" s="56"/>
      <c r="V56" s="44"/>
      <c r="W56" s="44"/>
      <c r="X56" s="44"/>
    </row>
    <row r="57" spans="1:24">
      <c r="A57" s="44"/>
      <c r="B57" s="44"/>
      <c r="C57" s="44"/>
      <c r="D57" s="74" t="s">
        <v>589</v>
      </c>
      <c r="E57" s="165"/>
      <c r="F57" s="166"/>
      <c r="G57" s="166">
        <f>CFS!D21</f>
        <v>99584</v>
      </c>
      <c r="H57" s="166">
        <f>CFS!E21</f>
        <v>108807</v>
      </c>
      <c r="I57" s="166">
        <f>CFS!F21</f>
        <v>98767</v>
      </c>
      <c r="J57" s="166">
        <f>CFS!G21</f>
        <v>144092.78886049998</v>
      </c>
      <c r="K57" s="166">
        <f>CFS!H21</f>
        <v>157782.04309917722</v>
      </c>
      <c r="L57" s="166">
        <f>CFS!I21</f>
        <v>195986.33069823147</v>
      </c>
      <c r="M57" s="166">
        <f>CFS!J21</f>
        <v>227302.89442222216</v>
      </c>
      <c r="N57" s="247"/>
      <c r="O57" s="48"/>
      <c r="P57" s="48"/>
      <c r="Q57" s="48"/>
      <c r="R57" s="48"/>
      <c r="S57" s="48"/>
      <c r="T57" s="48"/>
      <c r="U57" s="56"/>
      <c r="V57" s="44"/>
      <c r="W57" s="44"/>
      <c r="X57" s="44"/>
    </row>
    <row r="58" spans="1:24">
      <c r="A58" s="44"/>
      <c r="B58" s="44"/>
      <c r="C58" s="44"/>
      <c r="D58" s="53"/>
      <c r="E58" s="48"/>
      <c r="F58" s="48"/>
      <c r="G58" s="48"/>
      <c r="H58" s="48"/>
      <c r="I58" s="48"/>
      <c r="J58" s="48"/>
      <c r="K58" s="48"/>
      <c r="L58" s="48"/>
      <c r="M58" s="48"/>
      <c r="N58" s="53"/>
      <c r="O58" s="48"/>
      <c r="P58" s="48"/>
      <c r="Q58" s="48"/>
      <c r="R58" s="48"/>
      <c r="S58" s="48"/>
      <c r="T58" s="48"/>
      <c r="U58" s="56"/>
      <c r="V58" s="44"/>
      <c r="W58" s="44"/>
      <c r="X58" s="44"/>
    </row>
    <row r="59" spans="1:24">
      <c r="A59" s="44"/>
      <c r="B59" s="44"/>
      <c r="C59" s="44"/>
      <c r="D59" s="53"/>
      <c r="E59" s="48"/>
      <c r="F59" s="48"/>
      <c r="G59" s="48"/>
      <c r="H59" s="48"/>
      <c r="I59" s="48"/>
      <c r="J59" s="48"/>
      <c r="K59" s="48"/>
      <c r="L59" s="48"/>
      <c r="M59" s="48"/>
      <c r="N59" s="53"/>
      <c r="O59" s="48"/>
      <c r="P59" s="48"/>
      <c r="Q59" s="48"/>
      <c r="R59" s="48"/>
      <c r="S59" s="48"/>
      <c r="T59" s="48"/>
      <c r="U59" s="56"/>
      <c r="V59" s="44"/>
      <c r="W59" s="44"/>
      <c r="X59" s="44"/>
    </row>
    <row r="60" spans="1:24">
      <c r="A60" s="44"/>
      <c r="B60" s="44"/>
      <c r="C60" s="44"/>
      <c r="D60" s="54"/>
      <c r="E60" s="51"/>
      <c r="F60" s="51"/>
      <c r="G60" s="51"/>
      <c r="H60" s="51"/>
      <c r="I60" s="51"/>
      <c r="J60" s="51"/>
      <c r="K60" s="51"/>
      <c r="L60" s="51"/>
      <c r="M60" s="51"/>
      <c r="N60" s="54"/>
      <c r="O60" s="51"/>
      <c r="P60" s="51"/>
      <c r="Q60" s="51"/>
      <c r="R60" s="51"/>
      <c r="S60" s="51"/>
      <c r="T60" s="51"/>
      <c r="U60" s="57"/>
      <c r="V60" s="44"/>
      <c r="W60" s="44"/>
      <c r="X60" s="44"/>
    </row>
    <row r="61" spans="1:24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spans="1:24">
      <c r="A62" s="44"/>
      <c r="B62" s="80"/>
      <c r="C62" s="80"/>
      <c r="D62" s="70" t="s">
        <v>572</v>
      </c>
      <c r="E62" s="81"/>
      <c r="F62" s="81"/>
      <c r="G62" s="81"/>
      <c r="H62" s="81"/>
      <c r="I62" s="50"/>
      <c r="J62" s="70" t="s">
        <v>573</v>
      </c>
      <c r="K62" s="50"/>
      <c r="L62" s="50"/>
      <c r="M62" s="50"/>
      <c r="N62" s="50"/>
      <c r="O62" s="69" t="s">
        <v>574</v>
      </c>
      <c r="P62" s="70" t="s">
        <v>575</v>
      </c>
      <c r="Q62" s="50"/>
      <c r="R62" s="50"/>
      <c r="S62" s="50"/>
      <c r="T62" s="50"/>
      <c r="U62" s="55"/>
      <c r="V62" s="44"/>
      <c r="W62" s="44"/>
      <c r="X62" s="44"/>
    </row>
    <row r="63" spans="1:24">
      <c r="A63" s="44"/>
      <c r="B63" s="80"/>
      <c r="C63" s="80"/>
      <c r="D63" s="82"/>
      <c r="E63" s="80"/>
      <c r="F63" s="80"/>
      <c r="G63" s="80"/>
      <c r="H63" s="80"/>
      <c r="I63" s="48"/>
      <c r="J63" s="53"/>
      <c r="K63" s="48"/>
      <c r="L63" s="48"/>
      <c r="M63" s="48"/>
      <c r="N63" s="48"/>
      <c r="O63" s="48"/>
      <c r="P63" s="53"/>
      <c r="Q63" s="48"/>
      <c r="R63" s="48"/>
      <c r="S63" s="48"/>
      <c r="T63" s="48"/>
      <c r="U63" s="56"/>
      <c r="V63" s="44"/>
      <c r="W63" s="44"/>
      <c r="X63" s="44"/>
    </row>
    <row r="64" spans="1:24">
      <c r="A64" s="44"/>
      <c r="B64" s="80"/>
      <c r="C64" s="80"/>
      <c r="D64" s="82"/>
      <c r="E64" s="80"/>
      <c r="F64" s="80"/>
      <c r="G64" s="80"/>
      <c r="H64" s="80"/>
      <c r="I64" s="48"/>
      <c r="J64" s="53"/>
      <c r="K64" s="48"/>
      <c r="L64" s="48"/>
      <c r="M64" s="48"/>
      <c r="N64" s="48"/>
      <c r="O64" s="48"/>
      <c r="P64" s="76" t="s">
        <v>577</v>
      </c>
      <c r="Q64" s="77" t="str">
        <f>"Gross margin expanding "&amp;TEXT(Ratios!B7,"0.0%")&amp;" → "&amp;TEXT(Ratios!I7,"0.0%")</f>
        <v>Gross margin expanding 41.8% → 52.0%</v>
      </c>
      <c r="R64" s="48"/>
      <c r="S64" s="48"/>
      <c r="T64" s="48"/>
      <c r="U64" s="56"/>
      <c r="V64" s="44"/>
      <c r="W64" s="44"/>
      <c r="X64" s="44"/>
    </row>
    <row r="65" spans="1:24">
      <c r="A65" s="44"/>
      <c r="B65" s="80" t="s">
        <v>531</v>
      </c>
      <c r="C65" s="80" t="s">
        <v>11</v>
      </c>
      <c r="D65" s="82" t="s">
        <v>12</v>
      </c>
      <c r="E65" s="80" t="s">
        <v>13</v>
      </c>
      <c r="F65" s="80" t="s">
        <v>14</v>
      </c>
      <c r="G65" s="80" t="s">
        <v>15</v>
      </c>
      <c r="H65" s="80" t="s">
        <v>4</v>
      </c>
      <c r="I65" s="48" t="s">
        <v>16</v>
      </c>
      <c r="J65" s="53" t="s">
        <v>17</v>
      </c>
      <c r="K65" s="48"/>
      <c r="L65" s="48"/>
      <c r="M65" s="48"/>
      <c r="N65" s="48"/>
      <c r="O65" s="48"/>
      <c r="P65" s="53"/>
      <c r="Q65" s="78" t="s">
        <v>578</v>
      </c>
      <c r="R65" s="48"/>
      <c r="S65" s="48"/>
      <c r="T65" s="48"/>
      <c r="U65" s="56"/>
      <c r="V65" s="44"/>
      <c r="W65" s="44"/>
      <c r="X65" s="44"/>
    </row>
    <row r="66" spans="1:24">
      <c r="A66" s="44"/>
      <c r="B66" s="80" t="s">
        <v>532</v>
      </c>
      <c r="C66" s="80">
        <v>153306</v>
      </c>
      <c r="D66" s="82">
        <v>169658</v>
      </c>
      <c r="E66" s="80">
        <v>162560</v>
      </c>
      <c r="F66" s="80">
        <v>167045</v>
      </c>
      <c r="G66" s="80">
        <v>178353</v>
      </c>
      <c r="H66" s="80">
        <f>G66*(1+H$71)</f>
        <v>186378.88499999998</v>
      </c>
      <c r="I66" s="48">
        <f>H66*(1+I$71)</f>
        <v>193834.0404</v>
      </c>
      <c r="J66" s="53">
        <f>I66*(1+J$71)</f>
        <v>200618.23181399997</v>
      </c>
      <c r="K66" s="48"/>
      <c r="L66" s="48"/>
      <c r="M66" s="48"/>
      <c r="N66" s="48"/>
      <c r="O66" s="48"/>
      <c r="P66" s="53"/>
      <c r="Q66" s="48"/>
      <c r="R66" s="48"/>
      <c r="S66" s="48"/>
      <c r="T66" s="48"/>
      <c r="U66" s="56"/>
      <c r="V66" s="44"/>
      <c r="W66" s="44"/>
      <c r="X66" s="44"/>
    </row>
    <row r="67" spans="1:24">
      <c r="A67" s="44"/>
      <c r="B67" s="80" t="s">
        <v>533</v>
      </c>
      <c r="C67" s="80">
        <v>89307</v>
      </c>
      <c r="D67" s="82">
        <v>95118</v>
      </c>
      <c r="E67" s="80">
        <v>94294</v>
      </c>
      <c r="F67" s="80">
        <v>101328</v>
      </c>
      <c r="G67" s="80">
        <v>111032</v>
      </c>
      <c r="H67" s="80">
        <f>G67*(1+H$72)</f>
        <v>117693.92000000001</v>
      </c>
      <c r="I67" s="48">
        <f>H67*(1+I$72)</f>
        <v>123578.61600000002</v>
      </c>
      <c r="J67" s="53">
        <f>I67*(1+J$72)</f>
        <v>129139.65372000002</v>
      </c>
      <c r="K67" s="48"/>
      <c r="L67" s="48"/>
      <c r="M67" s="48"/>
      <c r="N67" s="48"/>
      <c r="O67" s="48"/>
      <c r="P67" s="76" t="s">
        <v>579</v>
      </c>
      <c r="Q67" s="258" t="str">
        <f>"Services revenue tripling FY21–FY29: $"&amp;TEXT(C84/1000,"0")&amp;"B → $"&amp;TEXT(K84/1000,"0")&amp;"B"</f>
        <v>Services revenue tripling FY21–FY29: $68B → $153B</v>
      </c>
      <c r="R67" s="48"/>
      <c r="S67" s="48"/>
      <c r="T67" s="48"/>
      <c r="U67" s="56"/>
      <c r="V67" s="44"/>
      <c r="W67" s="44"/>
      <c r="X67" s="44"/>
    </row>
    <row r="68" spans="1:24">
      <c r="A68" s="44"/>
      <c r="B68" s="80" t="s">
        <v>534</v>
      </c>
      <c r="C68" s="80">
        <v>68366</v>
      </c>
      <c r="D68" s="82">
        <v>74200</v>
      </c>
      <c r="E68" s="80">
        <v>72559</v>
      </c>
      <c r="F68" s="80">
        <v>66952</v>
      </c>
      <c r="G68" s="80">
        <v>64377</v>
      </c>
      <c r="H68" s="80">
        <f>G68*(1+H$73)</f>
        <v>63089.46</v>
      </c>
      <c r="I68" s="48">
        <f>H68*(1+I$73)</f>
        <v>63404.907299999992</v>
      </c>
      <c r="J68" s="53">
        <f>I68*(1+J$73)</f>
        <v>64673.005445999996</v>
      </c>
      <c r="K68" s="48"/>
      <c r="L68" s="48"/>
      <c r="M68" s="48"/>
      <c r="N68" s="48"/>
      <c r="O68" s="48"/>
      <c r="P68" s="53"/>
      <c r="Q68" s="78" t="str">
        <f>""&amp;TEXT((K84/C84)^(1/8)-1,"0.0%")&amp;" CAGR, "&amp;TEXT(K84/K90,"0.0%")&amp;" of FY29E mix."</f>
        <v>10.6% CAGR, 30.7% of FY29E mix.</v>
      </c>
      <c r="R68" s="48"/>
      <c r="S68" s="48"/>
      <c r="T68" s="48"/>
      <c r="U68" s="56"/>
      <c r="V68" s="44"/>
      <c r="W68" s="44"/>
      <c r="X68" s="44"/>
    </row>
    <row r="69" spans="1:24">
      <c r="A69" s="44"/>
      <c r="B69" s="80" t="s">
        <v>535</v>
      </c>
      <c r="C69" s="80">
        <v>28482</v>
      </c>
      <c r="D69" s="82">
        <v>25977</v>
      </c>
      <c r="E69" s="80">
        <v>24257</v>
      </c>
      <c r="F69" s="80">
        <v>25052</v>
      </c>
      <c r="G69" s="80">
        <v>28703</v>
      </c>
      <c r="H69" s="80">
        <f>G69*(1+H$74)</f>
        <v>30425.18</v>
      </c>
      <c r="I69" s="48">
        <f>H69*(1+I$74)</f>
        <v>31794.313099999999</v>
      </c>
      <c r="J69" s="53">
        <f>I69*(1+J$74)</f>
        <v>32907.114058499996</v>
      </c>
      <c r="K69" s="48"/>
      <c r="L69" s="48"/>
      <c r="M69" s="48"/>
      <c r="N69" s="48"/>
      <c r="O69" s="48"/>
      <c r="P69" s="53"/>
      <c r="Q69" s="48"/>
      <c r="R69" s="48"/>
      <c r="S69" s="48"/>
      <c r="T69" s="48"/>
      <c r="U69" s="56"/>
      <c r="V69" s="44"/>
      <c r="W69" s="44"/>
      <c r="X69" s="44"/>
    </row>
    <row r="70" spans="1:24">
      <c r="A70" s="44"/>
      <c r="B70" s="80" t="s">
        <v>536</v>
      </c>
      <c r="C70" s="80">
        <v>26356</v>
      </c>
      <c r="D70" s="82">
        <v>29375</v>
      </c>
      <c r="E70" s="80">
        <v>29615</v>
      </c>
      <c r="F70" s="80">
        <v>30658</v>
      </c>
      <c r="G70" s="80">
        <v>33696</v>
      </c>
      <c r="H70" s="80">
        <f>G70*(1+H$75)</f>
        <v>35717.760000000002</v>
      </c>
      <c r="I70" s="48">
        <f>H70*(1+I$75)</f>
        <v>37503.648000000001</v>
      </c>
      <c r="J70" s="53">
        <f>I70*(1+J$75)</f>
        <v>39191.312160000001</v>
      </c>
      <c r="K70" s="48"/>
      <c r="L70" s="48"/>
      <c r="M70" s="48"/>
      <c r="N70" s="48"/>
      <c r="O70" s="48"/>
      <c r="P70" s="76" t="s">
        <v>577</v>
      </c>
      <c r="Q70" s="77" t="str">
        <f>"FCF rebound to $"&amp;TEXT(CFS!G21/1000,"0")&amp;"B in FY26E"</f>
        <v>FCF rebound to $144B in FY26E</v>
      </c>
      <c r="R70" s="48"/>
      <c r="S70" s="48"/>
      <c r="T70" s="48"/>
      <c r="U70" s="56"/>
      <c r="V70" s="44"/>
      <c r="W70" s="44"/>
      <c r="X70" s="44"/>
    </row>
    <row r="71" spans="1:24">
      <c r="A71" s="44"/>
      <c r="B71" s="80" t="s">
        <v>537</v>
      </c>
      <c r="C71" s="80"/>
      <c r="D71" s="82"/>
      <c r="E71" s="80"/>
      <c r="F71" s="80"/>
      <c r="G71" s="80"/>
      <c r="H71" s="80">
        <v>4.4999999999999998E-2</v>
      </c>
      <c r="I71" s="48">
        <v>0.04</v>
      </c>
      <c r="J71" s="53">
        <v>3.5000000000000003E-2</v>
      </c>
      <c r="K71" s="48"/>
      <c r="L71" s="48"/>
      <c r="M71" s="48"/>
      <c r="N71" s="48"/>
      <c r="O71" s="48"/>
      <c r="P71" s="53"/>
      <c r="Q71" s="78" t="str">
        <f>"+"&amp;TEXT(CFS!G21/CFS!F21-1,"0%")&amp;" YoY on working capital normalization."</f>
        <v>+46% YoY on working capital normalization.</v>
      </c>
      <c r="R71" s="48"/>
      <c r="S71" s="48"/>
      <c r="T71" s="48"/>
      <c r="U71" s="56"/>
      <c r="V71" s="44"/>
      <c r="W71" s="44"/>
      <c r="X71" s="44"/>
    </row>
    <row r="72" spans="1:24">
      <c r="A72" s="44"/>
      <c r="B72" s="80" t="s">
        <v>538</v>
      </c>
      <c r="C72" s="80"/>
      <c r="D72" s="82"/>
      <c r="E72" s="80"/>
      <c r="F72" s="80"/>
      <c r="G72" s="80"/>
      <c r="H72" s="80">
        <v>0.06</v>
      </c>
      <c r="I72" s="48">
        <v>0.05</v>
      </c>
      <c r="J72" s="53">
        <v>4.4999999999999998E-2</v>
      </c>
      <c r="K72" s="48"/>
      <c r="L72" s="48"/>
      <c r="M72" s="48"/>
      <c r="N72" s="48"/>
      <c r="O72" s="48"/>
      <c r="P72" s="53"/>
      <c r="Q72" s="48"/>
      <c r="R72" s="48"/>
      <c r="S72" s="48"/>
      <c r="T72" s="48"/>
      <c r="U72" s="56"/>
      <c r="V72" s="44"/>
      <c r="W72" s="44"/>
      <c r="X72" s="44"/>
    </row>
    <row r="73" spans="1:24">
      <c r="A73" s="44"/>
      <c r="B73" s="80" t="s">
        <v>539</v>
      </c>
      <c r="C73" s="80"/>
      <c r="D73" s="82"/>
      <c r="E73" s="80"/>
      <c r="F73" s="80"/>
      <c r="G73" s="80"/>
      <c r="H73" s="80">
        <v>-0.02</v>
      </c>
      <c r="I73" s="48">
        <v>5.0000000000000001E-3</v>
      </c>
      <c r="J73" s="53">
        <v>0.02</v>
      </c>
      <c r="K73" s="48"/>
      <c r="L73" s="48"/>
      <c r="M73" s="48"/>
      <c r="N73" s="48"/>
      <c r="O73" s="48"/>
      <c r="P73" s="76" t="s">
        <v>10</v>
      </c>
      <c r="Q73" s="77" t="str">
        <f>"Greater China revenue softening"</f>
        <v>Greater China revenue softening</v>
      </c>
      <c r="R73" s="48"/>
      <c r="S73" s="48"/>
      <c r="T73" s="48"/>
      <c r="U73" s="56"/>
      <c r="V73" s="44"/>
      <c r="W73" s="44"/>
      <c r="X73" s="44"/>
    </row>
    <row r="74" spans="1:24">
      <c r="A74" s="44"/>
      <c r="B74" s="80" t="s">
        <v>540</v>
      </c>
      <c r="C74" s="80"/>
      <c r="D74" s="82"/>
      <c r="E74" s="80"/>
      <c r="F74" s="80"/>
      <c r="G74" s="80"/>
      <c r="H74" s="80">
        <v>0.06</v>
      </c>
      <c r="I74" s="48">
        <v>4.4999999999999998E-2</v>
      </c>
      <c r="J74" s="53">
        <v>3.5000000000000003E-2</v>
      </c>
      <c r="K74" s="48"/>
      <c r="L74" s="48"/>
      <c r="M74" s="48"/>
      <c r="N74" s="48"/>
      <c r="O74" s="48"/>
      <c r="P74" s="53"/>
      <c r="Q74" s="78" t="str">
        <f>"from $"&amp;TEXT(D68/1000,"0")&amp;"B (FY22A) to $"&amp;TEXT(G68/1000,"0")&amp;"B (FY25A), -"&amp;TEXT(1-G68/D68,"0%")&amp;" decline."</f>
        <v>from $74B (FY22A) to $64B (FY25A), -13% decline.</v>
      </c>
      <c r="R74" s="48"/>
      <c r="S74" s="48"/>
      <c r="T74" s="48"/>
      <c r="U74" s="56"/>
      <c r="V74" s="44"/>
      <c r="W74" s="44"/>
      <c r="X74" s="44"/>
    </row>
    <row r="75" spans="1:24">
      <c r="A75" s="44"/>
      <c r="B75" s="80" t="s">
        <v>541</v>
      </c>
      <c r="C75" s="80"/>
      <c r="D75" s="82"/>
      <c r="E75" s="80"/>
      <c r="F75" s="80"/>
      <c r="G75" s="80"/>
      <c r="H75" s="80">
        <v>0.06</v>
      </c>
      <c r="I75" s="48">
        <v>0.05</v>
      </c>
      <c r="J75" s="53">
        <v>4.4999999999999998E-2</v>
      </c>
      <c r="K75" s="48"/>
      <c r="L75" s="48"/>
      <c r="M75" s="48"/>
      <c r="N75" s="48"/>
      <c r="O75" s="48"/>
      <c r="P75" s="53"/>
      <c r="Q75" s="48"/>
      <c r="R75" s="48"/>
      <c r="S75" s="48"/>
      <c r="T75" s="48"/>
      <c r="U75" s="56"/>
      <c r="V75" s="44"/>
      <c r="W75" s="44"/>
      <c r="X75" s="44"/>
    </row>
    <row r="76" spans="1:24">
      <c r="A76" s="44"/>
      <c r="B76" s="80" t="s">
        <v>542</v>
      </c>
      <c r="C76" s="80">
        <f t="shared" ref="C76:J76" si="0">SUM(C66:C70)</f>
        <v>365817</v>
      </c>
      <c r="D76" s="83">
        <f t="shared" si="0"/>
        <v>394328</v>
      </c>
      <c r="E76" s="84">
        <f t="shared" si="0"/>
        <v>383285</v>
      </c>
      <c r="F76" s="84">
        <f t="shared" si="0"/>
        <v>391035</v>
      </c>
      <c r="G76" s="84">
        <f t="shared" si="0"/>
        <v>416161</v>
      </c>
      <c r="H76" s="84">
        <f t="shared" si="0"/>
        <v>433305.20500000002</v>
      </c>
      <c r="I76" s="51">
        <f t="shared" si="0"/>
        <v>450115.52480000007</v>
      </c>
      <c r="J76" s="54">
        <f t="shared" si="0"/>
        <v>466529.31719850004</v>
      </c>
      <c r="K76" s="51"/>
      <c r="L76" s="51"/>
      <c r="M76" s="51"/>
      <c r="N76" s="51"/>
      <c r="O76" s="51"/>
      <c r="P76" s="54"/>
      <c r="Q76" s="51"/>
      <c r="R76" s="51"/>
      <c r="S76" s="51"/>
      <c r="T76" s="51"/>
      <c r="U76" s="57"/>
      <c r="V76" s="44"/>
      <c r="W76" s="44"/>
      <c r="X76" s="44"/>
    </row>
    <row r="77" spans="1:24">
      <c r="A77" s="44"/>
      <c r="B77" s="80"/>
      <c r="C77" s="80"/>
      <c r="D77" s="80"/>
      <c r="E77" s="80"/>
      <c r="F77" s="80"/>
      <c r="G77" s="80"/>
      <c r="H77" s="80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24">
      <c r="A78" s="44"/>
      <c r="B78" s="80"/>
      <c r="C78" s="80"/>
      <c r="D78" s="80"/>
      <c r="E78" s="80"/>
      <c r="F78" s="80"/>
      <c r="G78" s="80"/>
      <c r="H78" s="80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spans="1:24">
      <c r="A79" s="44"/>
      <c r="B79" s="80" t="s">
        <v>543</v>
      </c>
      <c r="C79" s="80" t="s">
        <v>11</v>
      </c>
      <c r="D79" s="80" t="s">
        <v>12</v>
      </c>
      <c r="E79" s="80" t="s">
        <v>13</v>
      </c>
      <c r="F79" s="80" t="s">
        <v>14</v>
      </c>
      <c r="G79" s="80" t="s">
        <v>15</v>
      </c>
      <c r="H79" s="80" t="s">
        <v>4</v>
      </c>
      <c r="I79" s="44" t="s">
        <v>16</v>
      </c>
      <c r="J79" s="44" t="s">
        <v>17</v>
      </c>
      <c r="K79" s="251" t="s">
        <v>692</v>
      </c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spans="1:24">
      <c r="A80" s="44"/>
      <c r="B80" s="80" t="s">
        <v>544</v>
      </c>
      <c r="C80" s="80">
        <v>191973</v>
      </c>
      <c r="D80" s="80">
        <v>205489</v>
      </c>
      <c r="E80" s="80">
        <v>200583</v>
      </c>
      <c r="F80" s="80">
        <v>201183</v>
      </c>
      <c r="G80" s="80">
        <v>209586</v>
      </c>
      <c r="H80" s="80">
        <f>G80*(1+H$85)</f>
        <v>216921.50999999998</v>
      </c>
      <c r="I80" s="44">
        <f>H80*(1+I$85)</f>
        <v>223429.15529999998</v>
      </c>
      <c r="J80" s="44">
        <f>I80*(1+J$85)</f>
        <v>229014.88418249995</v>
      </c>
      <c r="K80" s="252">
        <f>J80*(1+K$85)</f>
        <v>234740.25628706242</v>
      </c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spans="1:24">
      <c r="A81" s="44"/>
      <c r="B81" s="80" t="s">
        <v>545</v>
      </c>
      <c r="C81" s="80">
        <v>35190</v>
      </c>
      <c r="D81" s="80">
        <v>40177</v>
      </c>
      <c r="E81" s="80">
        <v>29357</v>
      </c>
      <c r="F81" s="80">
        <v>29984</v>
      </c>
      <c r="G81" s="80">
        <v>33708</v>
      </c>
      <c r="H81" s="80">
        <f>G81*(1+H$86)</f>
        <v>35393.4</v>
      </c>
      <c r="I81" s="44">
        <f>H81*(1+I$86)</f>
        <v>36986.102999999996</v>
      </c>
      <c r="J81" s="44">
        <f>I81*(1+J$86)</f>
        <v>38465.547119999996</v>
      </c>
      <c r="K81" s="252">
        <f>J81*(1+K$86)</f>
        <v>40004.169004799995</v>
      </c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spans="1:24">
      <c r="A82" s="44"/>
      <c r="B82" s="80" t="s">
        <v>546</v>
      </c>
      <c r="C82" s="80">
        <v>31862</v>
      </c>
      <c r="D82" s="80">
        <v>29292</v>
      </c>
      <c r="E82" s="80">
        <v>28300</v>
      </c>
      <c r="F82" s="80">
        <v>26694</v>
      </c>
      <c r="G82" s="80">
        <v>28023</v>
      </c>
      <c r="H82" s="80">
        <f>G82*(1+H$87)</f>
        <v>29003.804999999997</v>
      </c>
      <c r="I82" s="44">
        <f>H82*(1+I$87)</f>
        <v>29873.919149999998</v>
      </c>
      <c r="J82" s="44">
        <f>I82*(1+J$87)</f>
        <v>30620.767128749994</v>
      </c>
      <c r="K82" s="252">
        <f>J82*(1+K$87)</f>
        <v>31386.286306968741</v>
      </c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spans="1:24">
      <c r="A83" s="44"/>
      <c r="B83" s="80" t="s">
        <v>547</v>
      </c>
      <c r="C83" s="80">
        <v>38367</v>
      </c>
      <c r="D83" s="80">
        <v>41241</v>
      </c>
      <c r="E83" s="80">
        <v>39845</v>
      </c>
      <c r="F83" s="80">
        <v>37005</v>
      </c>
      <c r="G83" s="80">
        <v>35686</v>
      </c>
      <c r="H83" s="80">
        <f>G83*(1+H$88)</f>
        <v>36399.72</v>
      </c>
      <c r="I83" s="44">
        <f>H83*(1+I$88)</f>
        <v>37491.711600000002</v>
      </c>
      <c r="J83" s="44">
        <f>I83*(1+J$88)</f>
        <v>38991.380064000004</v>
      </c>
      <c r="K83" s="252">
        <f>J83*(1+K$88)</f>
        <v>40551.035266560008</v>
      </c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spans="1:24">
      <c r="A84" s="44"/>
      <c r="B84" s="80" t="s">
        <v>548</v>
      </c>
      <c r="C84" s="80">
        <v>68425</v>
      </c>
      <c r="D84" s="80">
        <v>78129</v>
      </c>
      <c r="E84" s="80">
        <v>85200</v>
      </c>
      <c r="F84" s="80">
        <v>96169</v>
      </c>
      <c r="G84" s="80">
        <v>109158</v>
      </c>
      <c r="H84" s="80">
        <f>G84*(1+H$89)</f>
        <v>121711.17</v>
      </c>
      <c r="I84" s="44">
        <f>H84*(1+I$89)</f>
        <v>132665.1753</v>
      </c>
      <c r="J84" s="44">
        <f>I84*(1+J$89)</f>
        <v>142615.0634475</v>
      </c>
      <c r="K84" s="252">
        <f>J84*(1+K$89)</f>
        <v>153311.19320606248</v>
      </c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spans="1:24">
      <c r="A85" s="44"/>
      <c r="B85" s="80" t="s">
        <v>549</v>
      </c>
      <c r="C85" s="80"/>
      <c r="D85" s="80"/>
      <c r="E85" s="80"/>
      <c r="F85" s="80"/>
      <c r="G85" s="80"/>
      <c r="H85" s="80">
        <v>3.5000000000000003E-2</v>
      </c>
      <c r="I85" s="44">
        <v>0.03</v>
      </c>
      <c r="J85" s="44">
        <v>2.5000000000000001E-2</v>
      </c>
      <c r="K85" s="253">
        <v>2.5000000000000001E-2</v>
      </c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spans="1:24">
      <c r="A86" s="44"/>
      <c r="B86" s="80" t="s">
        <v>550</v>
      </c>
      <c r="C86" s="80"/>
      <c r="D86" s="80"/>
      <c r="E86" s="80"/>
      <c r="F86" s="80"/>
      <c r="G86" s="80"/>
      <c r="H86" s="80">
        <v>0.05</v>
      </c>
      <c r="I86" s="44">
        <v>4.4999999999999998E-2</v>
      </c>
      <c r="J86" s="44">
        <v>0.04</v>
      </c>
      <c r="K86" s="253">
        <v>0.04</v>
      </c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spans="1:24">
      <c r="A87" s="44"/>
      <c r="B87" s="80" t="s">
        <v>551</v>
      </c>
      <c r="C87" s="80"/>
      <c r="D87" s="80"/>
      <c r="E87" s="80"/>
      <c r="F87" s="80"/>
      <c r="G87" s="80"/>
      <c r="H87" s="80">
        <v>3.5000000000000003E-2</v>
      </c>
      <c r="I87" s="44">
        <v>0.03</v>
      </c>
      <c r="J87" s="44">
        <v>2.5000000000000001E-2</v>
      </c>
      <c r="K87" s="253">
        <v>2.5000000000000001E-2</v>
      </c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spans="1:24">
      <c r="A88" s="44"/>
      <c r="B88" s="80" t="s">
        <v>552</v>
      </c>
      <c r="C88" s="80"/>
      <c r="D88" s="80"/>
      <c r="E88" s="80"/>
      <c r="F88" s="80"/>
      <c r="G88" s="80"/>
      <c r="H88" s="80">
        <v>0.02</v>
      </c>
      <c r="I88" s="44">
        <v>0.03</v>
      </c>
      <c r="J88" s="44">
        <v>0.04</v>
      </c>
      <c r="K88" s="253">
        <v>0.04</v>
      </c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spans="1:24">
      <c r="A89" s="44"/>
      <c r="B89" s="80" t="s">
        <v>553</v>
      </c>
      <c r="C89" s="80"/>
      <c r="D89" s="80"/>
      <c r="E89" s="80"/>
      <c r="F89" s="80"/>
      <c r="G89" s="80"/>
      <c r="H89" s="80">
        <v>0.115</v>
      </c>
      <c r="I89" s="44">
        <v>0.09</v>
      </c>
      <c r="J89" s="44">
        <v>7.4999999999999997E-2</v>
      </c>
      <c r="K89" s="253">
        <v>7.4999999999999997E-2</v>
      </c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spans="1:24">
      <c r="A90" s="44"/>
      <c r="B90" s="80" t="s">
        <v>542</v>
      </c>
      <c r="C90" s="80">
        <f t="shared" ref="C90:J90" si="1">SUM(C80:C84)</f>
        <v>365817</v>
      </c>
      <c r="D90" s="80">
        <f t="shared" si="1"/>
        <v>394328</v>
      </c>
      <c r="E90" s="80">
        <f t="shared" si="1"/>
        <v>383285</v>
      </c>
      <c r="F90" s="80">
        <f t="shared" si="1"/>
        <v>391035</v>
      </c>
      <c r="G90" s="80">
        <f t="shared" si="1"/>
        <v>416161</v>
      </c>
      <c r="H90" s="80">
        <f t="shared" si="1"/>
        <v>439429.60499999992</v>
      </c>
      <c r="I90" s="44">
        <f t="shared" si="1"/>
        <v>460446.06434999994</v>
      </c>
      <c r="J90" s="44">
        <f t="shared" si="1"/>
        <v>479707.64194274996</v>
      </c>
      <c r="K90" s="254">
        <f>SUM(K80:K84)</f>
        <v>499992.94007145363</v>
      </c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spans="1:24">
      <c r="A91" s="44"/>
      <c r="B91" s="80"/>
      <c r="C91" s="80"/>
      <c r="D91" s="80"/>
      <c r="E91" s="80"/>
      <c r="F91" s="80"/>
      <c r="G91" s="80"/>
      <c r="H91" s="80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spans="1:24">
      <c r="A92" s="44"/>
      <c r="B92" s="80"/>
      <c r="C92" s="80" t="s">
        <v>11</v>
      </c>
      <c r="D92" s="80" t="s">
        <v>12</v>
      </c>
      <c r="E92" s="80" t="s">
        <v>13</v>
      </c>
      <c r="F92" s="80" t="s">
        <v>14</v>
      </c>
      <c r="G92" s="80" t="s">
        <v>15</v>
      </c>
      <c r="H92" s="80" t="s">
        <v>4</v>
      </c>
      <c r="I92" s="44" t="s">
        <v>16</v>
      </c>
      <c r="J92" s="44" t="s">
        <v>17</v>
      </c>
      <c r="K92" s="251" t="s">
        <v>692</v>
      </c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spans="1:24">
      <c r="A93" s="44"/>
      <c r="B93" s="80" t="s">
        <v>590</v>
      </c>
      <c r="C93" s="80">
        <f>IS!B8/1000</f>
        <v>297.392</v>
      </c>
      <c r="D93" s="80">
        <f>IS!C8/1000</f>
        <v>316.19900000000001</v>
      </c>
      <c r="E93" s="80">
        <f>IS!D8/1000</f>
        <v>298.08499999999998</v>
      </c>
      <c r="F93" s="80">
        <f>IS!E8/1000</f>
        <v>294.86599999999999</v>
      </c>
      <c r="G93" s="80">
        <f>IS!F8/1000</f>
        <v>307.00299999999999</v>
      </c>
      <c r="H93" s="80">
        <f>IS!G8/1000</f>
        <v>325.81711000000001</v>
      </c>
      <c r="I93" s="44">
        <f>IS!H8/1000</f>
        <v>345.79998790000002</v>
      </c>
      <c r="J93" s="44">
        <f>IS!I8/1000</f>
        <v>367.02537382300005</v>
      </c>
      <c r="K93" s="255">
        <f>IS!J8/1000</f>
        <v>389.57174244055005</v>
      </c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spans="1:24">
      <c r="A94" s="44"/>
      <c r="B94" s="80" t="s">
        <v>591</v>
      </c>
      <c r="C94" s="80">
        <f>IS!B13/1000</f>
        <v>68.424999999999997</v>
      </c>
      <c r="D94" s="80">
        <f>IS!C13/1000</f>
        <v>78.129000000000005</v>
      </c>
      <c r="E94" s="80">
        <f>IS!D13/1000</f>
        <v>85.2</v>
      </c>
      <c r="F94" s="80">
        <f>IS!E13/1000</f>
        <v>96.168999999999997</v>
      </c>
      <c r="G94" s="80">
        <f>IS!F13/1000</f>
        <v>109.158</v>
      </c>
      <c r="H94" s="80">
        <f>IS!G13/1000</f>
        <v>124.44012000000001</v>
      </c>
      <c r="I94" s="44">
        <f>IS!H13/1000</f>
        <v>141.86173680000002</v>
      </c>
      <c r="J94" s="44">
        <f>IS!I13/1000</f>
        <v>161.72237995200004</v>
      </c>
      <c r="K94" s="255">
        <f>IS!J13/1000</f>
        <v>184.36351314528008</v>
      </c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spans="1:24">
      <c r="A95" s="44"/>
      <c r="B95" s="80" t="s">
        <v>592</v>
      </c>
      <c r="C95" s="80"/>
      <c r="D95" s="80">
        <f>IS!C14/IS!B14-1</f>
        <v>7.7937876041846099E-2</v>
      </c>
      <c r="E95" s="80">
        <f>IS!D14/IS!C14-1</f>
        <v>-2.800460530319937E-2</v>
      </c>
      <c r="F95" s="80">
        <f>IS!E14/IS!D14-1</f>
        <v>2.021994077514111E-2</v>
      </c>
      <c r="G95" s="80">
        <f>IS!F14/IS!E14-1</f>
        <v>6.425511782832749E-2</v>
      </c>
      <c r="H95" s="80">
        <f>IS!G14/IS!F14-1</f>
        <v>8.1930382712459782E-2</v>
      </c>
      <c r="I95" s="44">
        <f>IS!H14/IS!G14-1</f>
        <v>8.3073612610285119E-2</v>
      </c>
      <c r="J95" s="44">
        <f>IS!I14/IS!H14-1</f>
        <v>8.4251084294703293E-2</v>
      </c>
      <c r="K95" s="256">
        <f>IS!J14/IS!I14-1</f>
        <v>8.5461359387748681E-2</v>
      </c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spans="1:24">
      <c r="A96" s="44"/>
      <c r="B96" s="80"/>
      <c r="C96" s="80"/>
      <c r="D96" s="80"/>
      <c r="E96" s="80"/>
      <c r="F96" s="80"/>
      <c r="G96" s="80"/>
      <c r="H96" s="80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spans="1:24">
      <c r="A97" s="44"/>
      <c r="B97" s="80" t="s">
        <v>531</v>
      </c>
      <c r="C97" s="80" t="s">
        <v>593</v>
      </c>
      <c r="D97" s="80"/>
      <c r="E97" s="80"/>
      <c r="F97" s="80"/>
      <c r="G97" s="80"/>
      <c r="H97" s="80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spans="1:24">
      <c r="A98" s="44"/>
      <c r="B98" s="80" t="s">
        <v>532</v>
      </c>
      <c r="C98" s="80">
        <f>F66/1000</f>
        <v>167.04499999999999</v>
      </c>
      <c r="D98" s="80"/>
      <c r="E98" s="80"/>
      <c r="F98" s="80"/>
      <c r="G98" s="80"/>
      <c r="H98" s="80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spans="1:24">
      <c r="A99" s="44"/>
      <c r="B99" s="80" t="s">
        <v>533</v>
      </c>
      <c r="C99" s="80">
        <f>F67/1000</f>
        <v>101.328</v>
      </c>
      <c r="D99" s="80"/>
      <c r="E99" s="80"/>
      <c r="F99" s="80"/>
      <c r="G99" s="80"/>
      <c r="H99" s="80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spans="1:24">
      <c r="A100" s="44"/>
      <c r="B100" s="80" t="s">
        <v>534</v>
      </c>
      <c r="C100" s="80">
        <f>F68/1000</f>
        <v>66.951999999999998</v>
      </c>
      <c r="D100" s="80"/>
      <c r="E100" s="80"/>
      <c r="F100" s="80"/>
      <c r="G100" s="80"/>
      <c r="H100" s="80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spans="1:24">
      <c r="A101" s="44"/>
      <c r="B101" s="80" t="s">
        <v>535</v>
      </c>
      <c r="C101" s="80">
        <f>F69/1000</f>
        <v>25.052</v>
      </c>
      <c r="D101" s="80"/>
      <c r="E101" s="80"/>
      <c r="F101" s="80"/>
      <c r="G101" s="80"/>
      <c r="H101" s="80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spans="1:24">
      <c r="A102" s="44"/>
      <c r="B102" s="80" t="s">
        <v>536</v>
      </c>
      <c r="C102" s="80">
        <f>F70/1000</f>
        <v>30.658000000000001</v>
      </c>
      <c r="D102" s="80"/>
      <c r="E102" s="80"/>
      <c r="F102" s="80"/>
      <c r="G102" s="80"/>
      <c r="H102" s="80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spans="1:24">
      <c r="A103" s="44"/>
      <c r="B103" s="80"/>
      <c r="C103" s="80"/>
      <c r="D103" s="80"/>
      <c r="E103" s="80"/>
      <c r="F103" s="80"/>
      <c r="G103" s="80"/>
      <c r="H103" s="80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spans="1:24">
      <c r="A104" s="44"/>
      <c r="B104" s="80" t="s">
        <v>594</v>
      </c>
      <c r="C104" s="80" t="s">
        <v>593</v>
      </c>
      <c r="D104" s="80"/>
      <c r="E104" s="80"/>
      <c r="F104" s="80"/>
      <c r="G104" s="80"/>
      <c r="H104" s="80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spans="1:24">
      <c r="A105" s="44"/>
      <c r="B105" s="80" t="s">
        <v>595</v>
      </c>
      <c r="C105" s="80">
        <f>IS!F8/1000</f>
        <v>307.00299999999999</v>
      </c>
      <c r="D105" s="80"/>
      <c r="E105" s="80"/>
      <c r="F105" s="80"/>
      <c r="G105" s="80"/>
      <c r="H105" s="80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spans="1:24">
      <c r="A106" s="44"/>
      <c r="B106" s="80" t="s">
        <v>548</v>
      </c>
      <c r="C106" s="80">
        <f>IS!F13/1000</f>
        <v>109.158</v>
      </c>
      <c r="D106" s="80"/>
      <c r="E106" s="80"/>
      <c r="F106" s="80"/>
      <c r="G106" s="80"/>
      <c r="H106" s="80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spans="1:24">
      <c r="A107" s="44"/>
      <c r="B107" s="80"/>
      <c r="C107" s="80"/>
      <c r="D107" s="80"/>
      <c r="E107" s="80"/>
      <c r="F107" s="80"/>
      <c r="G107" s="80"/>
      <c r="H107" s="80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spans="1:24">
      <c r="A108" s="44"/>
      <c r="B108" s="80" t="s">
        <v>596</v>
      </c>
      <c r="C108" s="80" t="s">
        <v>593</v>
      </c>
      <c r="D108" s="80"/>
      <c r="E108" s="80"/>
      <c r="F108" s="80"/>
      <c r="G108" s="80"/>
      <c r="H108" s="80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spans="1:24">
      <c r="A109" s="44"/>
      <c r="B109" s="80" t="s">
        <v>546</v>
      </c>
      <c r="C109" s="80">
        <f>F82/1000</f>
        <v>26.693999999999999</v>
      </c>
      <c r="D109" s="80"/>
      <c r="E109" s="80"/>
      <c r="F109" s="80"/>
      <c r="G109" s="80"/>
      <c r="H109" s="80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spans="1:24">
      <c r="A110" s="44"/>
      <c r="B110" s="80" t="s">
        <v>545</v>
      </c>
      <c r="C110" s="80">
        <f>F81/1000</f>
        <v>29.984000000000002</v>
      </c>
      <c r="D110" s="80"/>
      <c r="E110" s="80"/>
      <c r="F110" s="80"/>
      <c r="G110" s="80"/>
      <c r="H110" s="80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spans="1:24">
      <c r="A111" s="44"/>
      <c r="B111" s="80" t="s">
        <v>547</v>
      </c>
      <c r="C111" s="80">
        <f>F83/1000</f>
        <v>37.005000000000003</v>
      </c>
      <c r="D111" s="80"/>
      <c r="E111" s="80"/>
      <c r="F111" s="80"/>
      <c r="G111" s="80"/>
      <c r="H111" s="80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spans="1:24">
      <c r="A112" s="44"/>
      <c r="B112" s="80" t="s">
        <v>548</v>
      </c>
      <c r="C112" s="80">
        <f>F84/1000</f>
        <v>96.168999999999997</v>
      </c>
      <c r="D112" s="80"/>
      <c r="E112" s="80"/>
      <c r="F112" s="80"/>
      <c r="G112" s="80"/>
      <c r="H112" s="80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>
      <c r="A113" s="44"/>
      <c r="B113" s="80" t="s">
        <v>544</v>
      </c>
      <c r="C113" s="80">
        <f>F80/1000</f>
        <v>201.18299999999999</v>
      </c>
      <c r="D113" s="80"/>
      <c r="E113" s="80"/>
      <c r="F113" s="80"/>
      <c r="G113" s="80"/>
      <c r="H113" s="80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spans="1:24">
      <c r="A114" s="44"/>
      <c r="B114" s="80"/>
      <c r="C114" s="80"/>
      <c r="D114" s="80"/>
      <c r="E114" s="80"/>
      <c r="F114" s="80"/>
      <c r="G114" s="80"/>
      <c r="H114" s="80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spans="1:24">
      <c r="A115" s="44"/>
      <c r="B115" s="80"/>
      <c r="C115" s="80" t="s">
        <v>11</v>
      </c>
      <c r="D115" s="80" t="s">
        <v>12</v>
      </c>
      <c r="E115" s="80" t="s">
        <v>13</v>
      </c>
      <c r="F115" s="80" t="s">
        <v>14</v>
      </c>
      <c r="G115" s="80" t="s">
        <v>15</v>
      </c>
      <c r="H115" s="80" t="s">
        <v>4</v>
      </c>
      <c r="I115" s="44" t="s">
        <v>16</v>
      </c>
      <c r="J115" s="44" t="s">
        <v>17</v>
      </c>
      <c r="K115" s="251" t="s">
        <v>692</v>
      </c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>
      <c r="A116" s="44"/>
      <c r="B116" s="80" t="s">
        <v>597</v>
      </c>
      <c r="C116" s="80">
        <f>Ratios!B7</f>
        <v>0.41779359625167778</v>
      </c>
      <c r="D116" s="80">
        <f>Ratios!C7</f>
        <v>0.43309630561360085</v>
      </c>
      <c r="E116" s="80">
        <f>Ratios!D7</f>
        <v>0.44131129577207562</v>
      </c>
      <c r="F116" s="80">
        <f>Ratios!E7</f>
        <v>0.46206349815233932</v>
      </c>
      <c r="G116" s="80">
        <f>Ratios!F7</f>
        <v>0.46905164107160452</v>
      </c>
      <c r="H116" s="80">
        <f>Ratios!G7</f>
        <v>0.50864085658324687</v>
      </c>
      <c r="I116" s="44">
        <f>Ratios!H7</f>
        <v>0.5140882236712887</v>
      </c>
      <c r="J116" s="44">
        <f>Ratios!I7</f>
        <v>0.51969721062457108</v>
      </c>
      <c r="K116" s="256">
        <f>Ratios!J7</f>
        <v>0.52546013336279696</v>
      </c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spans="1:24">
      <c r="A117" s="44"/>
      <c r="B117" s="80" t="s">
        <v>598</v>
      </c>
      <c r="C117" s="80">
        <f>Ratios!B8</f>
        <v>0.29782377527561593</v>
      </c>
      <c r="D117" s="80">
        <f>Ratios!C8</f>
        <v>0.30288744395528594</v>
      </c>
      <c r="E117" s="80">
        <f>Ratios!D8</f>
        <v>0.29821412265024722</v>
      </c>
      <c r="F117" s="80">
        <f>Ratios!E8</f>
        <v>0.31510222870075566</v>
      </c>
      <c r="G117" s="80">
        <f>Ratios!F8</f>
        <v>0.31970799762591884</v>
      </c>
      <c r="H117" s="80">
        <f>Ratios!G8</f>
        <v>0.36493071560450013</v>
      </c>
      <c r="I117" s="44">
        <f>Ratios!H8</f>
        <v>0.37593246428408905</v>
      </c>
      <c r="J117" s="44">
        <f>Ratios!I8</f>
        <v>0.38701333409532179</v>
      </c>
      <c r="K117" s="256">
        <f>Ratios!J8</f>
        <v>0.39816196010850741</v>
      </c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spans="1:24">
      <c r="A118" s="44"/>
      <c r="B118" s="80" t="s">
        <v>599</v>
      </c>
      <c r="C118" s="80">
        <f>Ratios!B9</f>
        <v>0.25881793355694238</v>
      </c>
      <c r="D118" s="80">
        <f>Ratios!C9</f>
        <v>0.25309640705199732</v>
      </c>
      <c r="E118" s="80">
        <f>Ratios!D9</f>
        <v>0.25306234264320282</v>
      </c>
      <c r="F118" s="80">
        <f>Ratios!E9</f>
        <v>0.23971255769943867</v>
      </c>
      <c r="G118" s="80">
        <f>Ratios!F9</f>
        <v>0.26915064121818238</v>
      </c>
      <c r="H118" s="80">
        <f>Ratios!G9</f>
        <v>0.31845583699011343</v>
      </c>
      <c r="I118" s="44">
        <f>Ratios!H9</f>
        <v>0.32795325570082623</v>
      </c>
      <c r="J118" s="44">
        <f>Ratios!I9</f>
        <v>0.33752429919336213</v>
      </c>
      <c r="K118" s="256">
        <f>Ratios!J9</f>
        <v>0.34715883050594115</v>
      </c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spans="1:24">
      <c r="A119" s="44"/>
      <c r="B119" s="80" t="s">
        <v>600</v>
      </c>
      <c r="C119" s="80">
        <f>Ratios!B31</f>
        <v>0.25409699385211731</v>
      </c>
      <c r="D119" s="80">
        <f>Ratios!C31</f>
        <v>0.28261498042238947</v>
      </c>
      <c r="E119" s="80">
        <f>Ratios!D31</f>
        <v>0.25981710737440805</v>
      </c>
      <c r="F119" s="80">
        <f>Ratios!E31</f>
        <v>0.27825386474356517</v>
      </c>
      <c r="G119" s="80">
        <f>Ratios!F31</f>
        <v>0.23732882225869315</v>
      </c>
      <c r="H119" s="80">
        <f>Ratios!G31</f>
        <v>0.32002326505784257</v>
      </c>
      <c r="I119" s="44">
        <f>Ratios!H31</f>
        <v>0.32354813820223771</v>
      </c>
      <c r="J119" s="44">
        <f>Ratios!I31</f>
        <v>0.37066130172465983</v>
      </c>
      <c r="K119" s="256">
        <f>Ratios!J31</f>
        <v>0.39604274560587566</v>
      </c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spans="1:24">
      <c r="A120" s="44"/>
      <c r="B120" s="80"/>
      <c r="C120" s="80"/>
      <c r="D120" s="80"/>
      <c r="E120" s="80"/>
      <c r="F120" s="80"/>
      <c r="G120" s="80"/>
      <c r="H120" s="80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spans="1:24">
      <c r="A121" s="44"/>
      <c r="B121" s="80" t="s">
        <v>596</v>
      </c>
      <c r="C121" s="80" t="s">
        <v>14</v>
      </c>
      <c r="D121" s="80" t="s">
        <v>15</v>
      </c>
      <c r="E121" s="80" t="s">
        <v>4</v>
      </c>
      <c r="F121" s="80"/>
      <c r="G121" s="80"/>
      <c r="H121" s="80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spans="1:24">
      <c r="A122" s="44"/>
      <c r="B122" s="80" t="s">
        <v>544</v>
      </c>
      <c r="C122" s="80">
        <f>E80/1000</f>
        <v>200.583</v>
      </c>
      <c r="D122" s="80">
        <f>F80/1000</f>
        <v>201.18299999999999</v>
      </c>
      <c r="E122" s="80">
        <f>G80/1000</f>
        <v>209.58600000000001</v>
      </c>
      <c r="F122" s="80"/>
      <c r="G122" s="80"/>
      <c r="H122" s="80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spans="1:24">
      <c r="A123" s="44"/>
      <c r="B123" s="80" t="s">
        <v>548</v>
      </c>
      <c r="C123" s="80">
        <f>E84/1000</f>
        <v>85.2</v>
      </c>
      <c r="D123" s="80">
        <f>F84/1000</f>
        <v>96.168999999999997</v>
      </c>
      <c r="E123" s="80">
        <f>G84/1000</f>
        <v>109.158</v>
      </c>
      <c r="F123" s="80"/>
      <c r="G123" s="80"/>
      <c r="H123" s="80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spans="1:24">
      <c r="A124" s="44"/>
      <c r="B124" s="80" t="s">
        <v>547</v>
      </c>
      <c r="C124" s="80">
        <f>E83/1000</f>
        <v>39.844999999999999</v>
      </c>
      <c r="D124" s="80">
        <f>F83/1000</f>
        <v>37.005000000000003</v>
      </c>
      <c r="E124" s="80">
        <f>G83/1000</f>
        <v>35.686</v>
      </c>
      <c r="F124" s="80"/>
      <c r="G124" s="80"/>
      <c r="H124" s="80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spans="1:24">
      <c r="A125" s="44"/>
      <c r="B125" s="80" t="s">
        <v>545</v>
      </c>
      <c r="C125" s="80">
        <f t="shared" ref="C125:E126" si="2">E81/1000</f>
        <v>29.356999999999999</v>
      </c>
      <c r="D125" s="80">
        <f t="shared" si="2"/>
        <v>29.984000000000002</v>
      </c>
      <c r="E125" s="80">
        <f t="shared" si="2"/>
        <v>33.707999999999998</v>
      </c>
      <c r="F125" s="80"/>
      <c r="G125" s="80"/>
      <c r="H125" s="80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spans="1:24">
      <c r="A126" s="44"/>
      <c r="B126" s="80" t="s">
        <v>546</v>
      </c>
      <c r="C126" s="80">
        <f t="shared" si="2"/>
        <v>28.3</v>
      </c>
      <c r="D126" s="80">
        <f t="shared" si="2"/>
        <v>26.693999999999999</v>
      </c>
      <c r="E126" s="80">
        <f t="shared" si="2"/>
        <v>28.023</v>
      </c>
      <c r="F126" s="80"/>
      <c r="G126" s="80"/>
      <c r="H126" s="80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spans="1:24">
      <c r="A127" s="44"/>
      <c r="B127" s="80"/>
      <c r="C127" s="80"/>
      <c r="D127" s="80"/>
      <c r="E127" s="80"/>
      <c r="F127" s="80"/>
      <c r="G127" s="80"/>
      <c r="H127" s="80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spans="1:24">
      <c r="A128" s="44"/>
      <c r="B128" s="80"/>
      <c r="C128" s="80" t="s">
        <v>11</v>
      </c>
      <c r="D128" s="80" t="s">
        <v>12</v>
      </c>
      <c r="E128" s="80" t="s">
        <v>13</v>
      </c>
      <c r="F128" s="80" t="s">
        <v>14</v>
      </c>
      <c r="G128" s="80" t="s">
        <v>15</v>
      </c>
      <c r="H128" s="80" t="s">
        <v>4</v>
      </c>
      <c r="I128" s="44" t="s">
        <v>16</v>
      </c>
      <c r="J128" s="44" t="s">
        <v>17</v>
      </c>
      <c r="K128" s="251" t="s">
        <v>692</v>
      </c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spans="1:24">
      <c r="A129" s="44"/>
      <c r="B129" s="80" t="s">
        <v>601</v>
      </c>
      <c r="C129" s="80">
        <f>CFS!B21/1000</f>
        <v>92.953000000000003</v>
      </c>
      <c r="D129" s="80">
        <f>CFS!C21/1000</f>
        <v>111.443</v>
      </c>
      <c r="E129" s="80">
        <f>CFS!D21/1000</f>
        <v>99.584000000000003</v>
      </c>
      <c r="F129" s="80">
        <f>CFS!E21/1000</f>
        <v>108.807</v>
      </c>
      <c r="G129" s="80">
        <f>CFS!F21/1000</f>
        <v>98.766999999999996</v>
      </c>
      <c r="H129" s="80">
        <f>CFS!G21/1000</f>
        <v>144.09278886049998</v>
      </c>
      <c r="I129" s="44">
        <f>CFS!H21/1000</f>
        <v>157.7820430991772</v>
      </c>
      <c r="J129" s="44">
        <f>CFS!I21/1000</f>
        <v>195.98633069823146</v>
      </c>
      <c r="K129" s="255">
        <f>CFS!J21/1000</f>
        <v>227.30289442222215</v>
      </c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 spans="1:24">
      <c r="A130" s="44"/>
      <c r="B130" s="80"/>
      <c r="C130" s="80"/>
      <c r="D130" s="80"/>
      <c r="E130" s="80"/>
      <c r="F130" s="80"/>
      <c r="G130" s="80"/>
      <c r="H130" s="80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 spans="1:24" collapsed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 spans="1:24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 spans="1:24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 spans="1:2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 spans="1:24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 spans="1:24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 spans="1:24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 spans="1:24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 spans="1:24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 spans="1:24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 spans="1:24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 spans="1:24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 spans="1:24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 spans="1:2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 spans="1:24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 spans="1:24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 spans="1:24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 spans="1:24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 spans="1:24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 spans="1:24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 spans="1:24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 spans="1:24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 spans="1:24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 spans="1:2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 spans="1:24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 spans="1:24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 spans="1:24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 spans="1:24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 spans="1:24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 spans="1:24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 spans="1:24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 spans="1:24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 spans="1:24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spans="1:2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 spans="1:24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 spans="1:24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 spans="1:24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 spans="1:24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 spans="1:24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 spans="1:24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 spans="1:24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 spans="1:24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 spans="1:24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 spans="1:2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 spans="1:24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 spans="1:24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 spans="1:24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 spans="1:24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 spans="1:24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 spans="1:24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 spans="1:24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 spans="1:24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 spans="1:24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 spans="1:2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 spans="1:24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 spans="1:24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spans="1:24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spans="1:24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spans="1:24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spans="1:24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spans="1:24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spans="1:24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spans="1:24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spans="1:2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spans="1:24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spans="1:24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spans="1:24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spans="1:24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spans="1:24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spans="1:24"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</sheetData>
  <mergeCells count="10">
    <mergeCell ref="S9:T9"/>
    <mergeCell ref="C8:E8"/>
    <mergeCell ref="G8:H8"/>
    <mergeCell ref="K8:L8"/>
    <mergeCell ref="O8:P8"/>
    <mergeCell ref="S8:T8"/>
    <mergeCell ref="C9:E9"/>
    <mergeCell ref="G9:H9"/>
    <mergeCell ref="K9:L9"/>
    <mergeCell ref="O9:P9"/>
  </mergeCells>
  <dataValidations count="4">
    <dataValidation type="list" allowBlank="1" showInputMessage="1" showErrorMessage="1" promptTitle="Scenario" prompt="Select Bear / Base / Bull" sqref="B15" xr:uid="{7FA8496A-41D8-41DF-9979-B1CE379EC4CD}">
      <formula1>"Bear,Base,Bull"</formula1>
    </dataValidation>
    <dataValidation type="list" allowBlank="1" showInputMessage="1" showErrorMessage="1" promptTitle="Focus Year" prompt="Select forecast year" sqref="B18" xr:uid="{9842870A-3223-4689-83E3-116BF0D853F1}">
      <formula1>"FY26E,FY27E,FY28E"</formula1>
    </dataValidation>
    <dataValidation type="list" allowBlank="1" showInputMessage="1" showErrorMessage="1" promptTitle="Segment View" prompt="Filter by segment" sqref="B21" xr:uid="{A29F3CF1-4618-4DDF-8FAA-108EAF7C271D}">
      <formula1>"Both,Products,Services"</formula1>
    </dataValidation>
    <dataValidation type="list" allowBlank="1" showInputMessage="1" showErrorMessage="1" promptTitle="Geography" prompt="Filter by geography" sqref="B24" xr:uid="{15FDE9F6-4AD6-45E0-9F8D-3295AEDC1AB2}">
      <formula1>"All Regions,Americas,Europe,Greater China,Japan,Rest of APAC"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1D1F"/>
  </sheetPr>
  <dimension ref="A1:E45"/>
  <sheetViews>
    <sheetView showGridLines="0" zoomScaleNormal="100" workbookViewId="0">
      <selection activeCell="C44" sqref="C44"/>
    </sheetView>
  </sheetViews>
  <sheetFormatPr defaultColWidth="8.6328125" defaultRowHeight="14.5"/>
  <cols>
    <col min="1" max="1" width="4" customWidth="1"/>
    <col min="2" max="2" width="52.36328125" customWidth="1"/>
    <col min="3" max="3" width="69.90625" customWidth="1"/>
    <col min="4" max="4" width="4" customWidth="1"/>
  </cols>
  <sheetData>
    <row r="1" spans="1:5" ht="49.5" customHeight="1">
      <c r="A1" s="47"/>
      <c r="B1" s="326" t="s">
        <v>93</v>
      </c>
      <c r="C1" s="327"/>
      <c r="D1" s="327"/>
      <c r="E1" s="5"/>
    </row>
    <row r="2" spans="1:5" ht="27.75" customHeight="1">
      <c r="A2" s="47"/>
      <c r="B2" s="328" t="s">
        <v>94</v>
      </c>
      <c r="C2" s="329"/>
      <c r="D2" s="329"/>
      <c r="E2" s="5"/>
    </row>
    <row r="3" spans="1:5" ht="7.5" customHeight="1">
      <c r="A3" s="48"/>
      <c r="B3" s="48"/>
      <c r="C3" s="48"/>
      <c r="D3" s="48"/>
      <c r="E3" s="8"/>
    </row>
    <row r="4" spans="1:5">
      <c r="A4" s="48"/>
      <c r="B4" s="48"/>
      <c r="C4" s="48"/>
      <c r="D4" s="48"/>
    </row>
    <row r="5" spans="1:5" ht="17.25" customHeight="1">
      <c r="A5" s="48"/>
      <c r="B5" s="325" t="s">
        <v>95</v>
      </c>
      <c r="C5" s="325"/>
      <c r="D5" s="48"/>
    </row>
    <row r="6" spans="1:5">
      <c r="A6" s="48"/>
      <c r="B6" s="48"/>
      <c r="C6" s="48"/>
      <c r="D6" s="48"/>
    </row>
    <row r="7" spans="1:5" ht="18" customHeight="1">
      <c r="A7" s="48"/>
      <c r="B7" s="89" t="s">
        <v>96</v>
      </c>
      <c r="C7" s="90" t="s">
        <v>97</v>
      </c>
      <c r="D7" s="48"/>
    </row>
    <row r="8" spans="1:5" ht="18" customHeight="1">
      <c r="A8" s="48"/>
      <c r="B8" s="89" t="s">
        <v>98</v>
      </c>
      <c r="C8" s="90" t="s">
        <v>99</v>
      </c>
      <c r="D8" s="48"/>
    </row>
    <row r="9" spans="1:5" ht="18" customHeight="1">
      <c r="A9" s="48"/>
      <c r="B9" s="89" t="s">
        <v>100</v>
      </c>
      <c r="C9" s="90" t="s">
        <v>101</v>
      </c>
      <c r="D9" s="48"/>
    </row>
    <row r="10" spans="1:5" ht="18" customHeight="1">
      <c r="A10" s="48"/>
      <c r="B10" s="89" t="s">
        <v>102</v>
      </c>
      <c r="C10" s="90" t="s">
        <v>103</v>
      </c>
      <c r="D10" s="48"/>
    </row>
    <row r="11" spans="1:5" ht="18" customHeight="1">
      <c r="A11" s="48"/>
      <c r="B11" s="89" t="s">
        <v>104</v>
      </c>
      <c r="C11" s="90" t="s">
        <v>705</v>
      </c>
      <c r="D11" s="48"/>
    </row>
    <row r="12" spans="1:5" ht="18" customHeight="1">
      <c r="A12" s="48"/>
      <c r="B12" s="89" t="s">
        <v>105</v>
      </c>
      <c r="C12" s="90" t="s">
        <v>106</v>
      </c>
      <c r="D12" s="48"/>
    </row>
    <row r="13" spans="1:5" ht="18" customHeight="1">
      <c r="A13" s="48"/>
      <c r="B13" s="89" t="s">
        <v>107</v>
      </c>
      <c r="C13" s="90" t="s">
        <v>709</v>
      </c>
      <c r="D13" s="48"/>
    </row>
    <row r="14" spans="1:5" ht="18" customHeight="1">
      <c r="A14" s="48"/>
      <c r="B14" s="89" t="s">
        <v>108</v>
      </c>
      <c r="C14" s="90" t="s">
        <v>109</v>
      </c>
      <c r="D14" s="48"/>
    </row>
    <row r="15" spans="1:5" ht="18" customHeight="1">
      <c r="A15" s="48"/>
      <c r="B15" s="89" t="s">
        <v>110</v>
      </c>
      <c r="C15" s="90" t="s">
        <v>111</v>
      </c>
      <c r="D15" s="48"/>
    </row>
    <row r="16" spans="1:5">
      <c r="A16" s="48"/>
      <c r="B16" s="48"/>
      <c r="C16" s="48"/>
      <c r="D16" s="48"/>
    </row>
    <row r="17" spans="1:4" ht="17.25" customHeight="1">
      <c r="A17" s="48"/>
      <c r="B17" s="325" t="s">
        <v>112</v>
      </c>
      <c r="C17" s="325"/>
      <c r="D17" s="48"/>
    </row>
    <row r="18" spans="1:4">
      <c r="A18" s="48"/>
      <c r="B18" s="48"/>
      <c r="C18" s="48"/>
      <c r="D18" s="48"/>
    </row>
    <row r="19" spans="1:4" ht="18" customHeight="1">
      <c r="A19" s="48"/>
      <c r="B19" s="89" t="s">
        <v>113</v>
      </c>
      <c r="C19" s="90" t="s">
        <v>114</v>
      </c>
      <c r="D19" s="48"/>
    </row>
    <row r="20" spans="1:4" ht="18" customHeight="1">
      <c r="A20" s="48"/>
      <c r="B20" s="89" t="s">
        <v>115</v>
      </c>
      <c r="C20" s="90" t="s">
        <v>116</v>
      </c>
      <c r="D20" s="48"/>
    </row>
    <row r="21" spans="1:4" ht="18" customHeight="1">
      <c r="A21" s="48"/>
      <c r="B21" s="89" t="s">
        <v>53</v>
      </c>
      <c r="C21" s="90" t="s">
        <v>706</v>
      </c>
      <c r="D21" s="48"/>
    </row>
    <row r="22" spans="1:4" ht="18" customHeight="1">
      <c r="A22" s="48"/>
      <c r="B22" s="89" t="s">
        <v>72</v>
      </c>
      <c r="C22" s="90" t="s">
        <v>707</v>
      </c>
      <c r="D22" s="48"/>
    </row>
    <row r="23" spans="1:4" ht="18" customHeight="1">
      <c r="A23" s="48"/>
      <c r="B23" s="89" t="s">
        <v>85</v>
      </c>
      <c r="C23" s="90" t="s">
        <v>708</v>
      </c>
      <c r="D23" s="48"/>
    </row>
    <row r="24" spans="1:4" ht="18" customHeight="1">
      <c r="A24" s="48"/>
      <c r="B24" s="89" t="s">
        <v>117</v>
      </c>
      <c r="C24" s="90" t="s">
        <v>118</v>
      </c>
      <c r="D24" s="48"/>
    </row>
    <row r="25" spans="1:4" ht="18" customHeight="1">
      <c r="A25" s="48"/>
      <c r="B25" s="89" t="s">
        <v>119</v>
      </c>
      <c r="C25" s="90" t="s">
        <v>120</v>
      </c>
      <c r="D25" s="48"/>
    </row>
    <row r="26" spans="1:4" ht="18" customHeight="1">
      <c r="A26" s="48"/>
      <c r="B26" s="89" t="s">
        <v>121</v>
      </c>
      <c r="C26" s="90" t="s">
        <v>122</v>
      </c>
      <c r="D26" s="48"/>
    </row>
    <row r="27" spans="1:4" ht="18" customHeight="1">
      <c r="A27" s="48"/>
      <c r="B27" s="89" t="s">
        <v>123</v>
      </c>
      <c r="C27" s="90" t="s">
        <v>124</v>
      </c>
      <c r="D27" s="48"/>
    </row>
    <row r="28" spans="1:4">
      <c r="A28" s="48"/>
      <c r="B28" s="48"/>
      <c r="C28" s="48"/>
      <c r="D28" s="48"/>
    </row>
    <row r="29" spans="1:4" ht="17.25" customHeight="1">
      <c r="A29" s="48"/>
      <c r="B29" s="325" t="s">
        <v>125</v>
      </c>
      <c r="C29" s="325"/>
      <c r="D29" s="48"/>
    </row>
    <row r="30" spans="1:4">
      <c r="A30" s="48"/>
      <c r="B30" s="48"/>
      <c r="C30" s="48"/>
      <c r="D30" s="48"/>
    </row>
    <row r="31" spans="1:4" ht="18" customHeight="1">
      <c r="A31" s="48"/>
      <c r="B31" s="91" t="s">
        <v>126</v>
      </c>
      <c r="C31" s="90" t="s">
        <v>127</v>
      </c>
      <c r="D31" s="48"/>
    </row>
    <row r="32" spans="1:4" ht="18" customHeight="1">
      <c r="A32" s="48"/>
      <c r="B32" s="92" t="s">
        <v>128</v>
      </c>
      <c r="C32" s="90" t="s">
        <v>129</v>
      </c>
      <c r="D32" s="48"/>
    </row>
    <row r="33" spans="1:4" ht="18" customHeight="1">
      <c r="A33" s="48"/>
      <c r="B33" s="93" t="s">
        <v>130</v>
      </c>
      <c r="C33" s="90" t="s">
        <v>131</v>
      </c>
      <c r="D33" s="48"/>
    </row>
    <row r="34" spans="1:4" ht="18" customHeight="1">
      <c r="A34" s="48"/>
      <c r="B34" s="94" t="s">
        <v>132</v>
      </c>
      <c r="C34" s="90" t="s">
        <v>133</v>
      </c>
      <c r="D34" s="48"/>
    </row>
    <row r="35" spans="1:4">
      <c r="A35" s="48"/>
      <c r="B35" s="48"/>
      <c r="C35" s="48"/>
      <c r="D35" s="48"/>
    </row>
    <row r="36" spans="1:4" ht="17.25" customHeight="1">
      <c r="A36" s="48"/>
      <c r="B36" s="325" t="s">
        <v>134</v>
      </c>
      <c r="C36" s="325"/>
      <c r="D36" s="48"/>
    </row>
    <row r="37" spans="1:4">
      <c r="A37" s="48"/>
      <c r="B37" s="48"/>
      <c r="C37" s="48"/>
      <c r="D37" s="48"/>
    </row>
    <row r="38" spans="1:4" ht="18" customHeight="1">
      <c r="A38" s="48"/>
      <c r="B38" s="92" t="s">
        <v>135</v>
      </c>
      <c r="C38" s="95" t="s">
        <v>136</v>
      </c>
      <c r="D38" s="48"/>
    </row>
    <row r="39" spans="1:4" ht="18" customHeight="1">
      <c r="A39" s="48"/>
      <c r="B39" s="92" t="s">
        <v>137</v>
      </c>
      <c r="C39" s="95" t="s">
        <v>138</v>
      </c>
      <c r="D39" s="48"/>
    </row>
    <row r="40" spans="1:4" ht="18" customHeight="1">
      <c r="A40" s="48"/>
      <c r="B40" s="92" t="s">
        <v>139</v>
      </c>
      <c r="C40" s="95" t="s">
        <v>140</v>
      </c>
      <c r="D40" s="48"/>
    </row>
    <row r="41" spans="1:4">
      <c r="A41" s="48"/>
      <c r="B41" s="48"/>
      <c r="C41" s="48"/>
      <c r="D41" s="48"/>
    </row>
    <row r="42" spans="1:4">
      <c r="A42" s="48"/>
      <c r="B42" s="48"/>
      <c r="C42" s="48"/>
      <c r="D42" s="48"/>
    </row>
    <row r="43" spans="1:4" ht="15" customHeight="1">
      <c r="A43" s="48"/>
      <c r="B43" s="96" t="s">
        <v>141</v>
      </c>
      <c r="C43" s="48"/>
      <c r="D43" s="48"/>
    </row>
    <row r="44" spans="1:4" ht="15" customHeight="1">
      <c r="A44" s="48"/>
      <c r="B44" s="97" t="s">
        <v>142</v>
      </c>
      <c r="C44" s="48"/>
      <c r="D44" s="48"/>
    </row>
    <row r="45" spans="1:4" ht="15" customHeight="1">
      <c r="A45" s="48"/>
      <c r="B45" s="98" t="s">
        <v>143</v>
      </c>
      <c r="C45" s="48"/>
      <c r="D45" s="48"/>
    </row>
  </sheetData>
  <mergeCells count="6">
    <mergeCell ref="B36:C36"/>
    <mergeCell ref="B1:D1"/>
    <mergeCell ref="B2:D2"/>
    <mergeCell ref="B5:C5"/>
    <mergeCell ref="B17:C17"/>
    <mergeCell ref="B29:C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1E3"/>
    <pageSetUpPr fitToPage="1"/>
  </sheetPr>
  <dimension ref="A1:M95"/>
  <sheetViews>
    <sheetView showGridLines="0" topLeftCell="A51" zoomScaleNormal="100" workbookViewId="0">
      <selection activeCell="A58" sqref="A58:XFD58"/>
    </sheetView>
  </sheetViews>
  <sheetFormatPr defaultColWidth="8.6328125" defaultRowHeight="14.5"/>
  <cols>
    <col min="1" max="1" width="38" customWidth="1"/>
    <col min="2" max="9" width="13" customWidth="1"/>
    <col min="10" max="10" width="11.81640625" bestFit="1" customWidth="1"/>
    <col min="11" max="11" width="11.90625" customWidth="1"/>
    <col min="12" max="12" width="11.6328125" customWidth="1"/>
    <col min="13" max="13" width="11.7265625" customWidth="1"/>
  </cols>
  <sheetData>
    <row r="1" spans="1:10" ht="31.5" customHeight="1">
      <c r="A1" s="318" t="s">
        <v>236</v>
      </c>
      <c r="B1" s="318"/>
      <c r="C1" s="318"/>
      <c r="D1" s="318"/>
      <c r="E1" s="318"/>
      <c r="F1" s="318"/>
      <c r="G1" s="318"/>
      <c r="H1" s="318"/>
      <c r="I1" s="318"/>
      <c r="J1" s="318"/>
    </row>
    <row r="2" spans="1:10" ht="19.5" customHeight="1">
      <c r="A2" s="330" t="s">
        <v>667</v>
      </c>
      <c r="B2" s="330"/>
      <c r="C2" s="330"/>
      <c r="D2" s="330"/>
      <c r="E2" s="330"/>
      <c r="F2" s="330"/>
      <c r="G2" s="330"/>
      <c r="H2" s="330"/>
      <c r="I2" s="330"/>
      <c r="J2" s="330"/>
    </row>
    <row r="3" spans="1:10" ht="6" customHeight="1">
      <c r="A3" s="47"/>
      <c r="B3" s="47"/>
      <c r="C3" s="47"/>
      <c r="D3" s="47"/>
      <c r="E3" s="47"/>
      <c r="F3" s="47"/>
      <c r="G3" s="47"/>
      <c r="H3" s="47"/>
      <c r="I3" s="47"/>
      <c r="J3" s="47"/>
    </row>
    <row r="4" spans="1:10" ht="15" customHeight="1" thickBot="1">
      <c r="A4" s="99" t="s">
        <v>237</v>
      </c>
      <c r="B4" s="100" t="s">
        <v>32</v>
      </c>
      <c r="C4" s="100" t="s">
        <v>33</v>
      </c>
      <c r="D4" s="100" t="s">
        <v>34</v>
      </c>
      <c r="E4" s="100" t="s">
        <v>35</v>
      </c>
      <c r="F4" s="100" t="s">
        <v>36</v>
      </c>
      <c r="G4" s="101" t="s">
        <v>37</v>
      </c>
      <c r="H4" s="101" t="s">
        <v>38</v>
      </c>
      <c r="I4" s="101" t="s">
        <v>39</v>
      </c>
      <c r="J4" s="101" t="s">
        <v>674</v>
      </c>
    </row>
    <row r="5" spans="1:10" ht="15" customHeight="1">
      <c r="B5" s="102" t="s">
        <v>54</v>
      </c>
      <c r="C5" s="102" t="s">
        <v>55</v>
      </c>
      <c r="D5" s="102" t="s">
        <v>56</v>
      </c>
      <c r="E5" s="102" t="s">
        <v>57</v>
      </c>
      <c r="F5" s="102" t="s">
        <v>58</v>
      </c>
      <c r="G5" s="102" t="s">
        <v>59</v>
      </c>
      <c r="H5" s="102" t="s">
        <v>60</v>
      </c>
      <c r="I5" s="102" t="s">
        <v>61</v>
      </c>
      <c r="J5" s="102" t="s">
        <v>675</v>
      </c>
    </row>
    <row r="7" spans="1:10" ht="18" customHeight="1">
      <c r="A7" s="331" t="s">
        <v>238</v>
      </c>
      <c r="B7" s="331"/>
      <c r="C7" s="331"/>
      <c r="D7" s="331"/>
      <c r="E7" s="331"/>
      <c r="F7" s="331"/>
      <c r="G7" s="331"/>
      <c r="H7" s="331"/>
      <c r="I7" s="331"/>
      <c r="J7" s="331"/>
    </row>
    <row r="8" spans="1:10" ht="18" customHeight="1">
      <c r="A8" s="189" t="s">
        <v>239</v>
      </c>
      <c r="B8" s="296" t="str">
        <f>""</f>
        <v/>
      </c>
      <c r="C8" s="296">
        <f>IS!C8/IS!B8-1</f>
        <v>6.3239764351428418E-2</v>
      </c>
      <c r="D8" s="296">
        <f>IS!D8/IS!C8-1</f>
        <v>-5.7286708686618226E-2</v>
      </c>
      <c r="E8" s="296">
        <f>IS!E8/IS!D8-1</f>
        <v>-1.0798933190197424E-2</v>
      </c>
      <c r="F8" s="296">
        <f>IS!F8/IS!E8-1</f>
        <v>4.1161069774066972E-2</v>
      </c>
      <c r="G8" s="297">
        <f>CHOOSE(MATCH(Scenario,{"Bear","Base","Bull"},0),$B$65,$C$65,$D$65)</f>
        <v>6.1283147070223976E-2</v>
      </c>
      <c r="H8" s="297">
        <f>CHOOSE(MATCH(Scenario,{"Bear","Base","Bull"},0),$B$65,$C$65,$D$65)</f>
        <v>6.1283147070223976E-2</v>
      </c>
      <c r="I8" s="297">
        <f>CHOOSE(MATCH(Scenario,{"Bear","Base","Bull"},0),$B$65,$C$65,$D$65)</f>
        <v>6.1283147070223976E-2</v>
      </c>
      <c r="J8" s="297">
        <f>CHOOSE(MATCH(Scenario,{"Bear","Base","Bull"},0),$B$65,$C$65,$D$65)</f>
        <v>6.1283147070223976E-2</v>
      </c>
    </row>
    <row r="9" spans="1:10" ht="18" customHeight="1">
      <c r="A9" s="188" t="s">
        <v>544</v>
      </c>
      <c r="B9" s="296"/>
      <c r="C9" s="296">
        <f>IS!C9/IS!B9-1</f>
        <v>7.0405734139696641E-2</v>
      </c>
      <c r="D9" s="296">
        <f>IS!D9/IS!C9-1</f>
        <v>-2.3874757286278081E-2</v>
      </c>
      <c r="E9" s="296">
        <f>IS!E9/IS!D9-1</f>
        <v>2.9912804175826757E-3</v>
      </c>
      <c r="F9" s="296">
        <f>IS!F9/IS!E9-1</f>
        <v>4.1767942619406195E-2</v>
      </c>
      <c r="G9" s="298">
        <f>CHOOSE(MATCH(Scenario,{"Bear","Base","Bull"},0),$B$66,$C$66,$D$66)</f>
        <v>0.06</v>
      </c>
      <c r="H9" s="298">
        <f>CHOOSE(MATCH(Scenario,{"Bear","Base","Bull"},0),$B$66,$C$66,$D$66)</f>
        <v>0.06</v>
      </c>
      <c r="I9" s="298">
        <f>CHOOSE(MATCH(Scenario,{"Bear","Base","Bull"},0),$B$66,$C$66,$D$66)</f>
        <v>0.06</v>
      </c>
      <c r="J9" s="298">
        <f>CHOOSE(MATCH(Scenario,{"Bear","Base","Bull"},0),$B$66,$C$66,$D$66)</f>
        <v>0.06</v>
      </c>
    </row>
    <row r="10" spans="1:10" ht="18" customHeight="1">
      <c r="A10" s="188" t="s">
        <v>545</v>
      </c>
      <c r="B10" s="296"/>
      <c r="C10" s="296">
        <f>IS!C10/IS!B10-1</f>
        <v>0.14171639670360903</v>
      </c>
      <c r="D10" s="296">
        <f>IS!D10/IS!C10-1</f>
        <v>-0.26930831072504169</v>
      </c>
      <c r="E10" s="296">
        <f>IS!E10/IS!D10-1</f>
        <v>2.1357768164322E-2</v>
      </c>
      <c r="F10" s="296">
        <f>IS!F10/IS!E10-1</f>
        <v>0.12419957310565644</v>
      </c>
      <c r="G10" s="298">
        <f>CHOOSE(MATCH(Scenario,{"Bear","Base","Bull"},0),$B$67,$C$67,$D$67)</f>
        <v>0.08</v>
      </c>
      <c r="H10" s="298">
        <f>CHOOSE(MATCH(Scenario,{"Bear","Base","Bull"},0),$B$67,$C$67,$D$67)</f>
        <v>0.08</v>
      </c>
      <c r="I10" s="298">
        <f>CHOOSE(MATCH(Scenario,{"Bear","Base","Bull"},0),$B$67,$C$67,$D$67)</f>
        <v>0.08</v>
      </c>
      <c r="J10" s="298">
        <f>CHOOSE(MATCH(Scenario,{"Bear","Base","Bull"},0),$B$67,$C$67,$D$67)</f>
        <v>0.08</v>
      </c>
    </row>
    <row r="11" spans="1:10" ht="18" customHeight="1">
      <c r="A11" s="188" t="s">
        <v>546</v>
      </c>
      <c r="B11" s="296"/>
      <c r="C11" s="296">
        <f>IS!C11/IS!B11-1</f>
        <v>-8.0660347749670458E-2</v>
      </c>
      <c r="D11" s="296">
        <f>IS!D11/IS!C11-1</f>
        <v>-3.3865901952751631E-2</v>
      </c>
      <c r="E11" s="296">
        <f>IS!E11/IS!D11-1</f>
        <v>-5.674911660777382E-2</v>
      </c>
      <c r="F11" s="296">
        <f>IS!F11/IS!E11-1</f>
        <v>4.9786468869408962E-2</v>
      </c>
      <c r="G11" s="298">
        <f>CHOOSE(MATCH(Scenario,{"Bear","Base","Bull"},0),$B$68,$C$68,$D$68)</f>
        <v>0.05</v>
      </c>
      <c r="H11" s="298">
        <f>CHOOSE(MATCH(Scenario,{"Bear","Base","Bull"},0),$B$68,$C$68,$D$68)</f>
        <v>0.05</v>
      </c>
      <c r="I11" s="298">
        <f>CHOOSE(MATCH(Scenario,{"Bear","Base","Bull"},0),$B$68,$C$68,$D$68)</f>
        <v>0.05</v>
      </c>
      <c r="J11" s="298">
        <f>CHOOSE(MATCH(Scenario,{"Bear","Base","Bull"},0),$B$68,$C$68,$D$68)</f>
        <v>0.05</v>
      </c>
    </row>
    <row r="12" spans="1:10" ht="18" customHeight="1">
      <c r="A12" s="188" t="s">
        <v>606</v>
      </c>
      <c r="B12" s="296"/>
      <c r="C12" s="296">
        <f>IS!C12/IS!B12-1</f>
        <v>7.4908124169208001E-2</v>
      </c>
      <c r="D12" s="296">
        <f>IS!D12/IS!C12-1</f>
        <v>-3.3849809655439933E-2</v>
      </c>
      <c r="E12" s="296">
        <f>IS!E12/IS!D12-1</f>
        <v>-7.1276195256619435E-2</v>
      </c>
      <c r="F12" s="296">
        <f>IS!F12/IS!E12-1</f>
        <v>-3.5643831914606183E-2</v>
      </c>
      <c r="G12" s="298">
        <f>CHOOSE(MATCH(Scenario,{"Bear","Base","Bull"},0),$B$69,$C$69,$D$69)</f>
        <v>0.06</v>
      </c>
      <c r="H12" s="298">
        <f>CHOOSE(MATCH(Scenario,{"Bear","Base","Bull"},0),$B$69,$C$69,$D$69)</f>
        <v>0.06</v>
      </c>
      <c r="I12" s="298">
        <f>CHOOSE(MATCH(Scenario,{"Bear","Base","Bull"},0),$B$69,$C$69,$D$69)</f>
        <v>0.06</v>
      </c>
      <c r="J12" s="298">
        <f>CHOOSE(MATCH(Scenario,{"Bear","Base","Bull"},0),$B$69,$C$69,$D$69)</f>
        <v>0.06</v>
      </c>
    </row>
    <row r="13" spans="1:10" ht="18" customHeight="1">
      <c r="A13" s="189" t="s">
        <v>240</v>
      </c>
      <c r="B13" s="296" t="str">
        <f>""</f>
        <v/>
      </c>
      <c r="C13" s="296">
        <f>IS!C13/IS!B13-1</f>
        <v>0.14181951041286078</v>
      </c>
      <c r="D13" s="296">
        <f>IS!D13/IS!C13-1</f>
        <v>9.0504166186691215E-2</v>
      </c>
      <c r="E13" s="296">
        <f>IS!E13/IS!D13-1</f>
        <v>0.12874413145539898</v>
      </c>
      <c r="F13" s="296">
        <f>IS!F13/IS!E13-1</f>
        <v>0.13506431386413498</v>
      </c>
      <c r="G13" s="298">
        <f>CHOOSE(MATCH(Scenario,{"Bear","Base","Bull"},0),$B$70,$C$70,$D$70)</f>
        <v>0.14000000000000001</v>
      </c>
      <c r="H13" s="298">
        <f>CHOOSE(MATCH(Scenario,{"Bear","Base","Bull"},0),$B$70,$C$70,$D$70)</f>
        <v>0.14000000000000001</v>
      </c>
      <c r="I13" s="298">
        <f>CHOOSE(MATCH(Scenario,{"Bear","Base","Bull"},0),$B$70,$C$70,$D$70)</f>
        <v>0.14000000000000001</v>
      </c>
      <c r="J13" s="298">
        <f>CHOOSE(MATCH(Scenario,{"Bear","Base","Bull"},0),$B$70,$C$70,$D$70)</f>
        <v>0.14000000000000001</v>
      </c>
    </row>
    <row r="15" spans="1:10" ht="18" customHeight="1">
      <c r="A15" s="331" t="s">
        <v>241</v>
      </c>
      <c r="B15" s="331"/>
      <c r="C15" s="331"/>
      <c r="D15" s="331"/>
      <c r="E15" s="331"/>
      <c r="F15" s="331"/>
      <c r="G15" s="331"/>
      <c r="H15" s="331"/>
      <c r="I15" s="331"/>
      <c r="J15" s="331"/>
    </row>
    <row r="16" spans="1:10" ht="18" customHeight="1">
      <c r="A16" s="103" t="s">
        <v>242</v>
      </c>
      <c r="B16" s="296">
        <f>(IS!B8-IS!B18)/IS!B8</f>
        <v>0.35349303276483562</v>
      </c>
      <c r="C16" s="296">
        <f>(IS!C8-IS!C18)/IS!C8</f>
        <v>0.36283479707399452</v>
      </c>
      <c r="D16" s="296">
        <f>(IS!D8-IS!D18)/IS!D8</f>
        <v>0.36500662562691849</v>
      </c>
      <c r="E16" s="296">
        <f>(IS!E8-IS!E18)/IS!E8</f>
        <v>0.37180617636485724</v>
      </c>
      <c r="F16" s="296">
        <f>(IS!F8-IS!F18)/IS!F8</f>
        <v>0.36770650449669873</v>
      </c>
      <c r="G16" s="298">
        <f>CHOOSE(MATCH(Scenario,{"Bear","Base","Bull"},0),$B$71,$C$71,$D$71)</f>
        <v>0.40500000000000003</v>
      </c>
      <c r="H16" s="298">
        <f>CHOOSE(MATCH(Scenario,{"Bear","Base","Bull"},0),$B$71,$C$71,$D$71)</f>
        <v>0.40500000000000003</v>
      </c>
      <c r="I16" s="298">
        <f>CHOOSE(MATCH(Scenario,{"Bear","Base","Bull"},0),$B$71,$C$71,$D$71)</f>
        <v>0.40500000000000003</v>
      </c>
      <c r="J16" s="298">
        <f>CHOOSE(MATCH(Scenario,{"Bear","Base","Bull"},0),$B$71,$C$71,$D$71)</f>
        <v>0.40500000000000003</v>
      </c>
    </row>
    <row r="17" spans="1:10" ht="18" customHeight="1">
      <c r="A17" s="103" t="s">
        <v>243</v>
      </c>
      <c r="B17" s="296">
        <f>(IS!B13-IS!B19)/IS!B13</f>
        <v>0.69725977347460721</v>
      </c>
      <c r="C17" s="296">
        <f>(IS!C13-IS!C19)/IS!C13</f>
        <v>0.71745446633132381</v>
      </c>
      <c r="D17" s="296">
        <f>(IS!D13-IS!D19)/IS!D13</f>
        <v>0.70827464788732397</v>
      </c>
      <c r="E17" s="296">
        <f>(IS!E13-IS!E19)/IS!E13</f>
        <v>0.7388035645582256</v>
      </c>
      <c r="F17" s="296">
        <f>(IS!F13-IS!F19)/IS!F13</f>
        <v>0.75408124003737698</v>
      </c>
      <c r="G17" s="298">
        <f>CHOOSE(MATCH(Scenario,{"Bear","Base","Bull"},0),$B$72,$C$72,$D$72)</f>
        <v>0.78</v>
      </c>
      <c r="H17" s="298">
        <f>CHOOSE(MATCH(Scenario,{"Bear","Base","Bull"},0),$B$72,$C$72,$D$72)</f>
        <v>0.78</v>
      </c>
      <c r="I17" s="298">
        <f>CHOOSE(MATCH(Scenario,{"Bear","Base","Bull"},0),$B$72,$C$72,$D$72)</f>
        <v>0.78</v>
      </c>
      <c r="J17" s="298">
        <f>CHOOSE(MATCH(Scenario,{"Bear","Base","Bull"},0),$B$72,$C$72,$D$72)</f>
        <v>0.78</v>
      </c>
    </row>
    <row r="19" spans="1:10" ht="18" customHeight="1">
      <c r="A19" s="331" t="s">
        <v>244</v>
      </c>
      <c r="B19" s="331"/>
      <c r="C19" s="331"/>
      <c r="D19" s="331"/>
      <c r="E19" s="331"/>
      <c r="F19" s="331"/>
      <c r="G19" s="331"/>
      <c r="H19" s="331"/>
      <c r="I19" s="331"/>
      <c r="J19" s="331"/>
    </row>
    <row r="20" spans="1:10" ht="18" customHeight="1">
      <c r="A20" s="103" t="s">
        <v>245</v>
      </c>
      <c r="B20" s="104" t="str">
        <f>""</f>
        <v/>
      </c>
      <c r="C20" s="296">
        <f>IS!C25/IS!B25-1</f>
        <v>0.19791001186456136</v>
      </c>
      <c r="D20" s="296">
        <f>IS!D25/IS!C25-1</f>
        <v>0.1395756352138966</v>
      </c>
      <c r="E20" s="296">
        <f>IS!E25/IS!D25-1</f>
        <v>4.8637807120173848E-2</v>
      </c>
      <c r="F20" s="296">
        <f>IS!F25/IS!E25-1</f>
        <v>0.10137073637233018</v>
      </c>
      <c r="G20" s="298">
        <f>CHOOSE(MATCH(Scenario,{"Bear","Base","Bull"},0),$B$73,$C$73,$D$73)</f>
        <v>0.05</v>
      </c>
      <c r="H20" s="298">
        <f>CHOOSE(MATCH(Scenario,{"Bear","Base","Bull"},0),$B$73,$C$73,$D$73)</f>
        <v>0.05</v>
      </c>
      <c r="I20" s="298">
        <f>CHOOSE(MATCH(Scenario,{"Bear","Base","Bull"},0),$B$73,$C$73,$D$73)</f>
        <v>0.05</v>
      </c>
      <c r="J20" s="298">
        <f>CHOOSE(MATCH(Scenario,{"Bear","Base","Bull"},0),$B$73,$C$73,$D$73)</f>
        <v>0.05</v>
      </c>
    </row>
    <row r="21" spans="1:10" ht="18" customHeight="1">
      <c r="A21" s="103" t="s">
        <v>246</v>
      </c>
      <c r="B21" s="104" t="str">
        <f>""</f>
        <v/>
      </c>
      <c r="C21" s="296">
        <f>IS!C26/IS!B26-1</f>
        <v>0.14203795567287125</v>
      </c>
      <c r="D21" s="296">
        <v>5</v>
      </c>
      <c r="E21" s="296">
        <f>IS!E26/IS!D26-1</f>
        <v>4.6727097705759668E-2</v>
      </c>
      <c r="F21" s="296">
        <f>IS!F26/IS!E26-1</f>
        <v>5.7631145342376566E-2</v>
      </c>
      <c r="G21" s="298">
        <f>CHOOSE(MATCH(Scenario,{"Bear","Base","Bull"},0),$B$74,$C$74,$D$74)</f>
        <v>0.03</v>
      </c>
      <c r="H21" s="298">
        <f>CHOOSE(MATCH(Scenario,{"Bear","Base","Bull"},0),$B$74,$C$74,$D$74)</f>
        <v>0.03</v>
      </c>
      <c r="I21" s="298">
        <f>CHOOSE(MATCH(Scenario,{"Bear","Base","Bull"},0),$B$74,$C$74,$D$74)</f>
        <v>0.03</v>
      </c>
      <c r="J21" s="298">
        <f>CHOOSE(MATCH(Scenario,{"Bear","Base","Bull"},0),$B$74,$C$74,$D$74)</f>
        <v>0.03</v>
      </c>
    </row>
    <row r="23" spans="1:10" ht="18" customHeight="1">
      <c r="A23" s="331" t="s">
        <v>247</v>
      </c>
      <c r="B23" s="331"/>
      <c r="C23" s="331"/>
      <c r="D23" s="331"/>
      <c r="E23" s="331"/>
      <c r="F23" s="331"/>
      <c r="G23" s="331"/>
      <c r="H23" s="331"/>
      <c r="I23" s="331"/>
      <c r="J23" s="331"/>
    </row>
    <row r="24" spans="1:10" ht="18" customHeight="1">
      <c r="A24" s="103" t="s">
        <v>248</v>
      </c>
      <c r="B24" s="299">
        <f>IS!B34</f>
        <v>258</v>
      </c>
      <c r="C24" s="299">
        <f>IS!C34</f>
        <v>-334</v>
      </c>
      <c r="D24" s="299">
        <f>IS!D34</f>
        <v>-565</v>
      </c>
      <c r="E24" s="299">
        <f>IS!E34</f>
        <v>269</v>
      </c>
      <c r="F24" s="299">
        <f>IS!F34</f>
        <v>-321</v>
      </c>
      <c r="G24" s="300">
        <f>CHOOSE(MATCH(Scenario,{"Bear","Base","Bull"},0),$B$83,$C$83,$D$83)</f>
        <v>500</v>
      </c>
      <c r="H24" s="300">
        <f>CHOOSE(MATCH(Scenario,{"Bear","Base","Bull"},0),$B$83,$C$83,$D$83)</f>
        <v>500</v>
      </c>
      <c r="I24" s="300">
        <f>CHOOSE(MATCH(Scenario,{"Bear","Base","Bull"},0),$B$83,$C$83,$D$83)</f>
        <v>500</v>
      </c>
      <c r="J24" s="300">
        <f>CHOOSE(MATCH(Scenario,{"Bear","Base","Bull"},0),$B$83,$C$83,$D$83)</f>
        <v>500</v>
      </c>
    </row>
    <row r="25" spans="1:10" ht="18" customHeight="1">
      <c r="A25" s="103" t="s">
        <v>249</v>
      </c>
      <c r="B25" s="296">
        <f>IS!B36/IS!B35</f>
        <v>0.13302260844085087</v>
      </c>
      <c r="C25" s="296">
        <f>IS!C36/IS!C35</f>
        <v>0.16204461684424407</v>
      </c>
      <c r="D25" s="296">
        <f>IS!D36/IS!D35</f>
        <v>0.14719174228036858</v>
      </c>
      <c r="E25" s="296">
        <f>IS!E36/IS!E35</f>
        <v>0.24091185164189982</v>
      </c>
      <c r="F25" s="296">
        <f>IS!F36/IS!F35</f>
        <v>0.15610002335586043</v>
      </c>
      <c r="G25" s="298">
        <f>CHOOSE(MATCH(Scenario,{"Bear","Base","Bull"},0),$B$75,$C$75,$D$75)</f>
        <v>0.13</v>
      </c>
      <c r="H25" s="298">
        <f>CHOOSE(MATCH(Scenario,{"Bear","Base","Bull"},0),$B$75,$C$75,$D$75)</f>
        <v>0.13</v>
      </c>
      <c r="I25" s="298">
        <f>CHOOSE(MATCH(Scenario,{"Bear","Base","Bull"},0),$B$75,$C$75,$D$75)</f>
        <v>0.13</v>
      </c>
      <c r="J25" s="298">
        <f>CHOOSE(MATCH(Scenario,{"Bear","Base","Bull"},0),$B$75,$C$75,$D$75)</f>
        <v>0.13</v>
      </c>
    </row>
    <row r="27" spans="1:10" ht="18" customHeight="1">
      <c r="A27" s="331" t="s">
        <v>250</v>
      </c>
      <c r="B27" s="331"/>
      <c r="C27" s="331"/>
      <c r="D27" s="331"/>
      <c r="E27" s="331"/>
      <c r="F27" s="331"/>
      <c r="G27" s="331"/>
      <c r="H27" s="331"/>
      <c r="I27" s="331"/>
      <c r="J27" s="331"/>
    </row>
    <row r="28" spans="1:10" ht="18" customHeight="1">
      <c r="A28" s="103" t="s">
        <v>251</v>
      </c>
      <c r="B28" s="301">
        <f>BS!C7/IS!B14*365</f>
        <v>26.219311841713207</v>
      </c>
      <c r="C28" s="301">
        <f>BS!D7/IS!C14*365</f>
        <v>26.087825363656648</v>
      </c>
      <c r="D28" s="301">
        <f>BS!E7/IS!D14*365</f>
        <v>28.100290906244702</v>
      </c>
      <c r="E28" s="301">
        <f>BS!F7/IS!E14*365</f>
        <v>31.185571624023428</v>
      </c>
      <c r="F28" s="301">
        <f>BS!G7/IS!F14*365</f>
        <v>34.886990852098108</v>
      </c>
      <c r="G28" s="302">
        <v>30</v>
      </c>
      <c r="H28" s="302">
        <v>30</v>
      </c>
      <c r="I28" s="302">
        <v>30</v>
      </c>
      <c r="J28" s="302">
        <v>30</v>
      </c>
    </row>
    <row r="29" spans="1:10" ht="18" customHeight="1">
      <c r="A29" s="103" t="s">
        <v>252</v>
      </c>
      <c r="B29" s="301">
        <f>BS!C8/IS!B20*365</f>
        <v>11.27659274770989</v>
      </c>
      <c r="C29" s="301">
        <f>BS!D8/IS!C20*365</f>
        <v>8.0756980666171607</v>
      </c>
      <c r="D29" s="301">
        <f>BS!E8/IS!D20*365</f>
        <v>10.791292490321617</v>
      </c>
      <c r="E29" s="301">
        <f>BS!F8/IS!E20*365</f>
        <v>12.642570548414087</v>
      </c>
      <c r="F29" s="301">
        <f>BS!G8/IS!F20*365</f>
        <v>9.4454652425778427</v>
      </c>
      <c r="G29" s="302">
        <v>10</v>
      </c>
      <c r="H29" s="302">
        <v>10</v>
      </c>
      <c r="I29" s="302">
        <v>10</v>
      </c>
      <c r="J29" s="302">
        <v>10</v>
      </c>
    </row>
    <row r="30" spans="1:10" ht="18" customHeight="1">
      <c r="A30" s="103" t="s">
        <v>253</v>
      </c>
      <c r="B30" s="301">
        <f>BS!C21/IS!B20*365</f>
        <v>93.851071222315596</v>
      </c>
      <c r="C30" s="301">
        <f>BS!D21/IS!C20*365</f>
        <v>104.68527730310539</v>
      </c>
      <c r="D30" s="301">
        <f>BS!E21/IS!D20*365</f>
        <v>106.72146803214764</v>
      </c>
      <c r="E30" s="301">
        <f>BS!F21/IS!E20*365</f>
        <v>119.65847721913744</v>
      </c>
      <c r="F30" s="301">
        <f>BS!G21/IS!F20*365</f>
        <v>115.40052498189718</v>
      </c>
      <c r="G30" s="302">
        <v>115</v>
      </c>
      <c r="H30" s="302">
        <v>115</v>
      </c>
      <c r="I30" s="302">
        <v>115</v>
      </c>
      <c r="J30" s="302">
        <v>115</v>
      </c>
    </row>
    <row r="31" spans="1:10">
      <c r="B31" s="197"/>
      <c r="C31" s="197"/>
      <c r="D31" s="197"/>
      <c r="E31" s="197"/>
      <c r="F31" s="197"/>
      <c r="G31" s="197"/>
      <c r="H31" s="197"/>
      <c r="I31" s="197"/>
      <c r="J31" s="197"/>
    </row>
    <row r="32" spans="1:10">
      <c r="A32" s="212" t="s">
        <v>660</v>
      </c>
      <c r="B32" s="303">
        <f>CFS!B12/IS!B14</f>
        <v>2.1611898845597662E-2</v>
      </c>
      <c r="C32" s="303">
        <f>CFS!C12/IS!C14</f>
        <v>2.2920005680550203E-2</v>
      </c>
      <c r="D32" s="303">
        <f>CFS!D12/IS!D14</f>
        <v>2.8263563666723196E-2</v>
      </c>
      <c r="E32" s="303">
        <f>CFS!E12/IS!E14</f>
        <v>2.9889907553032339E-2</v>
      </c>
      <c r="F32" s="303">
        <f>CFS!F12/IS!F14</f>
        <v>3.0908710811440764E-2</v>
      </c>
      <c r="G32" s="304">
        <v>3.1E-2</v>
      </c>
      <c r="H32" s="304">
        <v>3.1E-2</v>
      </c>
      <c r="I32" s="304">
        <v>3.1E-2</v>
      </c>
      <c r="J32" s="304">
        <v>3.1E-2</v>
      </c>
    </row>
    <row r="33" spans="1:10">
      <c r="A33" s="212" t="s">
        <v>661</v>
      </c>
      <c r="B33" s="303">
        <f>BS!C22/IS!B14</f>
        <v>0.12982720868631037</v>
      </c>
      <c r="C33" s="303">
        <f>BS!D22/IS!C14</f>
        <v>0.15430048081799924</v>
      </c>
      <c r="D33" s="303">
        <f>BS!E22/IS!D14</f>
        <v>0.15348630914332675</v>
      </c>
      <c r="E33" s="303">
        <f>BS!F22/IS!E14</f>
        <v>0.20024805963660541</v>
      </c>
      <c r="F33" s="303">
        <f>BS!G22/IS!F14</f>
        <v>0.19578240152248769</v>
      </c>
      <c r="G33" s="304">
        <v>0.17</v>
      </c>
      <c r="H33" s="304">
        <v>0.17</v>
      </c>
      <c r="I33" s="304">
        <v>0.17</v>
      </c>
      <c r="J33" s="304">
        <v>0.17</v>
      </c>
    </row>
    <row r="34" spans="1:10">
      <c r="A34" s="212" t="s">
        <v>662</v>
      </c>
      <c r="B34" s="303">
        <f>BS!C23/IS!B13</f>
        <v>0.11124588966021191</v>
      </c>
      <c r="C34" s="303">
        <f>BS!D23/IS!C13</f>
        <v>0.10126841505714908</v>
      </c>
      <c r="D34" s="303">
        <f>BS!E23/IS!D13</f>
        <v>9.4612676056338024E-2</v>
      </c>
      <c r="E34" s="303">
        <f>BS!F23/IS!E13</f>
        <v>8.5776081689525732E-2</v>
      </c>
      <c r="F34" s="303">
        <f>BS!G23/IS!F13</f>
        <v>7.5569358178053825E-2</v>
      </c>
      <c r="G34" s="305">
        <v>7.8E-2</v>
      </c>
      <c r="H34" s="305">
        <v>7.8E-2</v>
      </c>
      <c r="I34" s="305">
        <v>7.8E-2</v>
      </c>
      <c r="J34" s="305">
        <v>7.8E-2</v>
      </c>
    </row>
    <row r="35" spans="1:10">
      <c r="A35" s="212" t="s">
        <v>663</v>
      </c>
      <c r="B35" s="303">
        <f>BS!C9/IS!B20</f>
        <v>0.11845188068419249</v>
      </c>
      <c r="C35" s="303">
        <f>BS!D9/IS!C20</f>
        <v>0.14649333917851359</v>
      </c>
      <c r="D35" s="303">
        <f>BS!E9/IS!D20</f>
        <v>0.1469946809752635</v>
      </c>
      <c r="E35" s="303">
        <f>BS!F9/IS!E20</f>
        <v>0.15608598919905681</v>
      </c>
      <c r="F35" s="303">
        <f>BS!G9/IS!F20</f>
        <v>0.12874728457639392</v>
      </c>
      <c r="G35" s="305">
        <v>0.13500000000000001</v>
      </c>
      <c r="H35" s="305">
        <v>0.13500000000000001</v>
      </c>
      <c r="I35" s="305">
        <v>0.13500000000000001</v>
      </c>
      <c r="J35" s="305">
        <v>0.13500000000000001</v>
      </c>
    </row>
    <row r="36" spans="1:10" ht="18" customHeight="1">
      <c r="A36" s="331" t="s">
        <v>254</v>
      </c>
      <c r="B36" s="331"/>
      <c r="C36" s="331"/>
      <c r="D36" s="331"/>
      <c r="E36" s="331"/>
      <c r="F36" s="331"/>
      <c r="G36" s="331"/>
      <c r="H36" s="331"/>
      <c r="I36" s="331"/>
      <c r="J36" s="331"/>
    </row>
    <row r="37" spans="1:10" ht="18" customHeight="1">
      <c r="A37" s="103" t="s">
        <v>255</v>
      </c>
      <c r="B37" s="306">
        <f>-CFS!B19/IS!B14</f>
        <v>3.0302036264033657E-2</v>
      </c>
      <c r="C37" s="306">
        <f>-CFS!C19/IS!C14</f>
        <v>2.7155058732831552E-2</v>
      </c>
      <c r="D37" s="306">
        <f>-CFS!D19/IS!D14</f>
        <v>2.859230076835775E-2</v>
      </c>
      <c r="E37" s="306">
        <f>-CFS!E19/IS!E14</f>
        <v>2.415896275269477E-2</v>
      </c>
      <c r="F37" s="306">
        <f>-CFS!F19/IS!F14</f>
        <v>3.0553079216937677E-2</v>
      </c>
      <c r="G37" s="304">
        <f>CHOOSE(MATCH(Scenario,{"Bear","Base","Bull"},0),$B$76,$C$76,$D$76)</f>
        <v>2.1999999999999999E-2</v>
      </c>
      <c r="H37" s="304">
        <f>CHOOSE(MATCH(Scenario,{"Bear","Base","Bull"},0),$B$76,$C$76,$D$76)</f>
        <v>2.1999999999999999E-2</v>
      </c>
      <c r="I37" s="304">
        <f>CHOOSE(MATCH(Scenario,{"Bear","Base","Bull"},0),$B$76,$C$76,$D$76)</f>
        <v>2.1999999999999999E-2</v>
      </c>
      <c r="J37" s="304">
        <f>CHOOSE(MATCH(Scenario,{"Bear","Base","Bull"},0),$B$76,$C$76,$D$76)</f>
        <v>2.1999999999999999E-2</v>
      </c>
    </row>
    <row r="38" spans="1:10" ht="18" customHeight="1">
      <c r="A38" s="103" t="s">
        <v>256</v>
      </c>
      <c r="B38" s="299">
        <f>CFS!B10</f>
        <v>11284</v>
      </c>
      <c r="C38" s="299">
        <f>CFS!C10</f>
        <v>11104</v>
      </c>
      <c r="D38" s="299">
        <f>CFS!D10</f>
        <v>11519</v>
      </c>
      <c r="E38" s="299">
        <f>CFS!E10</f>
        <v>11445</v>
      </c>
      <c r="F38" s="299">
        <f>CFS!F10</f>
        <v>11698</v>
      </c>
      <c r="G38" s="300">
        <f>CHOOSE(MATCH(Scenario,{"Bear","Base","Bull"},0),$B$84,$C$84,$D$84)*IS!G14</f>
        <v>11256.43075</v>
      </c>
      <c r="H38" s="300">
        <f>CHOOSE(MATCH(Scenario,{"Bear","Base","Bull"},0),$B$84,$C$84,$D$84)*IS!H14</f>
        <v>12191.543117500001</v>
      </c>
      <c r="I38" s="300">
        <f>CHOOSE(MATCH(Scenario,{"Bear","Base","Bull"},0),$B$84,$C$84,$D$84)*IS!I14</f>
        <v>13218.693844375004</v>
      </c>
      <c r="J38" s="300">
        <f>CHOOSE(MATCH(Scenario,{"Bear","Base","Bull"},0),$B$84,$C$84,$D$84)*IS!J14</f>
        <v>14348.381389645756</v>
      </c>
    </row>
    <row r="40" spans="1:10" ht="18" customHeight="1">
      <c r="A40" s="331" t="s">
        <v>257</v>
      </c>
      <c r="B40" s="331"/>
      <c r="C40" s="331"/>
      <c r="D40" s="331"/>
      <c r="E40" s="331"/>
      <c r="F40" s="331"/>
      <c r="G40" s="331"/>
      <c r="H40" s="331"/>
      <c r="I40" s="331"/>
      <c r="J40" s="331"/>
    </row>
    <row r="41" spans="1:10" ht="18" customHeight="1">
      <c r="A41" s="103" t="s">
        <v>258</v>
      </c>
      <c r="B41" s="296">
        <f>(-CFS!B24-CFS!B25)/CFS!B21</f>
        <v>1.0805245661786065</v>
      </c>
      <c r="C41" s="296">
        <f>(-CFS!C24-CFS!C25)/CFS!C21</f>
        <v>0.93539298116525937</v>
      </c>
      <c r="D41" s="296">
        <f>(-CFS!D24-CFS!D25)/CFS!D21</f>
        <v>0.9296172075835476</v>
      </c>
      <c r="E41" s="296">
        <f>(-CFS!E24-CFS!E25)/CFS!E21</f>
        <v>1.0126462451864311</v>
      </c>
      <c r="F41" s="296">
        <f>(-CFS!F24-CFS!F25)/CFS!F21</f>
        <v>1.0745694412101208</v>
      </c>
      <c r="G41" s="307">
        <f>CHOOSE(MATCH(Scenario,{"Bear","Base","Bull"},0),$B$81,$C$81,$D$81)</f>
        <v>1.05</v>
      </c>
      <c r="H41" s="307">
        <f>CHOOSE(MATCH(Scenario,{"Bear","Base","Bull"},0),$B$81,$C$81,$D$81)</f>
        <v>1.05</v>
      </c>
      <c r="I41" s="307">
        <f>CHOOSE(MATCH(Scenario,{"Bear","Base","Bull"},0),$B$81,$C$81,$D$81)</f>
        <v>1.05</v>
      </c>
      <c r="J41" s="307">
        <f>CHOOSE(MATCH(Scenario,{"Bear","Base","Bull"},0),$B$81,$C$81,$D$81)</f>
        <v>1.05</v>
      </c>
    </row>
    <row r="42" spans="1:10" ht="18" customHeight="1">
      <c r="A42" s="103" t="s">
        <v>259</v>
      </c>
      <c r="B42" s="296">
        <f>-CFS!B24/(-CFS!B24-CFS!B25)</f>
        <v>0.14403910870387701</v>
      </c>
      <c r="C42" s="296">
        <f>-CFS!C24/(-CFS!C24-CFS!C25)</f>
        <v>0.14236927179762671</v>
      </c>
      <c r="D42" s="296">
        <f>-CFS!D24/(-CFS!D24-CFS!D25)</f>
        <v>0.16230083715906021</v>
      </c>
      <c r="E42" s="296">
        <f>-CFS!E24/(-CFS!E24-CFS!E25)</f>
        <v>0.1382608932412441</v>
      </c>
      <c r="F42" s="296">
        <f>-CFS!F24/(-CFS!F24-CFS!F25)</f>
        <v>0.14530019221347001</v>
      </c>
      <c r="G42" s="307">
        <f>CHOOSE(MATCH(Scenario,{"Bear","Base","Bull"},0),$B$82,$C$82,$D$82)</f>
        <v>0.12</v>
      </c>
      <c r="H42" s="307">
        <f>CHOOSE(MATCH(Scenario,{"Bear","Base","Bull"},0),$B$82,$C$82,$D$82)</f>
        <v>0.12</v>
      </c>
      <c r="I42" s="307">
        <f>CHOOSE(MATCH(Scenario,{"Bear","Base","Bull"},0),$B$82,$C$82,$D$82)</f>
        <v>0.12</v>
      </c>
      <c r="J42" s="307">
        <f>CHOOSE(MATCH(Scenario,{"Bear","Base","Bull"},0),$B$82,$C$82,$D$82)</f>
        <v>0.12</v>
      </c>
    </row>
    <row r="44" spans="1:10" ht="18" customHeight="1">
      <c r="A44" s="331" t="s">
        <v>260</v>
      </c>
      <c r="B44" s="331"/>
      <c r="C44" s="331"/>
      <c r="D44" s="331"/>
    </row>
    <row r="45" spans="1:10" ht="18" customHeight="1">
      <c r="A45" s="103" t="s">
        <v>261</v>
      </c>
      <c r="B45" s="308">
        <f>CHOOSE(MATCH(Scenario,{"Bear","Base","Bull"},0),$B$79,$C$79,$D$79)</f>
        <v>0.04</v>
      </c>
    </row>
    <row r="46" spans="1:10" ht="18" customHeight="1">
      <c r="A46" s="103" t="s">
        <v>262</v>
      </c>
      <c r="B46" s="308">
        <f>CHOOSE(MATCH(Scenario,{"Bear","Base","Bull"},0),$B$80,$C$80,$D$80)</f>
        <v>4.4999999999999998E-2</v>
      </c>
    </row>
    <row r="47" spans="1:10" ht="18" customHeight="1">
      <c r="A47" s="103" t="s">
        <v>263</v>
      </c>
      <c r="B47" s="309">
        <f>CHOOSE(MATCH(Scenario,{"Bear","Base","Bull"},0),$B$77,$C$77,$D$77)</f>
        <v>0.95</v>
      </c>
    </row>
    <row r="48" spans="1:10" ht="18" customHeight="1">
      <c r="A48" s="103" t="s">
        <v>264</v>
      </c>
      <c r="B48" s="310">
        <f>B45+B47*B46</f>
        <v>8.274999999999999E-2</v>
      </c>
    </row>
    <row r="49" spans="1:10" ht="18" customHeight="1">
      <c r="A49" s="103" t="s">
        <v>265</v>
      </c>
      <c r="B49" s="311">
        <v>0.04</v>
      </c>
    </row>
    <row r="50" spans="1:10" ht="18" customHeight="1">
      <c r="A50" s="103" t="s">
        <v>266</v>
      </c>
      <c r="B50" s="311">
        <v>0.15</v>
      </c>
    </row>
    <row r="51" spans="1:10" ht="18" customHeight="1">
      <c r="A51" s="103" t="s">
        <v>267</v>
      </c>
      <c r="B51" s="310">
        <f>B49*(1-B50)</f>
        <v>3.4000000000000002E-2</v>
      </c>
    </row>
    <row r="52" spans="1:10" ht="18" customHeight="1">
      <c r="A52" s="103" t="s">
        <v>268</v>
      </c>
      <c r="B52" s="312">
        <v>0.1</v>
      </c>
    </row>
    <row r="53" spans="1:10" ht="18" customHeight="1">
      <c r="A53" s="103" t="s">
        <v>269</v>
      </c>
      <c r="B53" s="313">
        <f>1-B52</f>
        <v>0.9</v>
      </c>
    </row>
    <row r="54" spans="1:10" ht="18" customHeight="1">
      <c r="A54" s="103" t="s">
        <v>270</v>
      </c>
      <c r="B54" s="310">
        <f>B48*B53+B51*B52</f>
        <v>7.7875E-2</v>
      </c>
    </row>
    <row r="55" spans="1:10" ht="18" customHeight="1">
      <c r="A55" s="103" t="s">
        <v>271</v>
      </c>
      <c r="B55" s="308">
        <f>CHOOSE(MATCH(Scenario,{"Bear","Base","Bull"},0),$B$78,$C$78,$D$78)</f>
        <v>0.03</v>
      </c>
    </row>
    <row r="57" spans="1:10" ht="18" customHeight="1">
      <c r="A57" s="331" t="s">
        <v>272</v>
      </c>
      <c r="B57" s="331"/>
      <c r="C57" s="331"/>
      <c r="D57" s="331"/>
    </row>
    <row r="58" spans="1:10" ht="15" customHeight="1">
      <c r="A58" s="103" t="s">
        <v>273</v>
      </c>
      <c r="B58" s="106">
        <v>15004.7</v>
      </c>
    </row>
    <row r="59" spans="1:10" ht="15" customHeight="1">
      <c r="A59" s="103" t="s">
        <v>274</v>
      </c>
      <c r="B59" s="107">
        <v>232.5</v>
      </c>
    </row>
    <row r="61" spans="1:10">
      <c r="A61" s="11" t="s">
        <v>275</v>
      </c>
      <c r="B61" s="12"/>
      <c r="C61" s="12"/>
      <c r="D61" s="12"/>
      <c r="E61" s="12"/>
      <c r="F61" s="12"/>
      <c r="G61" s="12"/>
      <c r="H61" s="12"/>
      <c r="I61" s="12"/>
      <c r="J61" s="12"/>
    </row>
    <row r="62" spans="1:10" ht="15.5">
      <c r="A62" s="13" t="s">
        <v>276</v>
      </c>
      <c r="B62" s="14" t="s">
        <v>279</v>
      </c>
      <c r="C62" s="15" t="s">
        <v>277</v>
      </c>
    </row>
    <row r="64" spans="1:10">
      <c r="A64" s="16" t="s">
        <v>7</v>
      </c>
      <c r="B64" s="17" t="s">
        <v>278</v>
      </c>
      <c r="C64" s="18" t="s">
        <v>3</v>
      </c>
      <c r="D64" s="19" t="s">
        <v>279</v>
      </c>
      <c r="E64" s="16" t="s">
        <v>280</v>
      </c>
      <c r="F64" s="16" t="s">
        <v>52</v>
      </c>
    </row>
    <row r="65" spans="1:6">
      <c r="A65" s="227" t="s">
        <v>281</v>
      </c>
      <c r="B65" s="231">
        <f>(IS!$F$9*(1+B66)+IS!$F$10*(1+B67)+IS!$F$11*(1+B68)+IS!$F$12*(1+B69))/IS!$F$8-1</f>
        <v>-4.279241570929293E-3</v>
      </c>
      <c r="C65" s="232">
        <f>(IS!$F$9*(1+C66)+IS!$F$10*(1+C67)+IS!$F$11*(1+C68)+IS!$F$12*(1+C69))/IS!$F$8-1</f>
        <v>3.0120748005719955E-2</v>
      </c>
      <c r="D65" s="233">
        <f>(IS!$F$9*(1+D66)+IS!$F$10*(1+D67)+IS!$F$11*(1+D68)+IS!$F$12*(1+D69))/IS!$F$8-1</f>
        <v>6.1283147070223976E-2</v>
      </c>
      <c r="E65" s="24" t="s">
        <v>282</v>
      </c>
      <c r="F65" s="15" t="s">
        <v>283</v>
      </c>
    </row>
    <row r="66" spans="1:6">
      <c r="A66" s="20" t="s">
        <v>668</v>
      </c>
      <c r="B66" s="228">
        <v>0</v>
      </c>
      <c r="C66" s="229">
        <v>0.03</v>
      </c>
      <c r="D66" s="230">
        <v>0.06</v>
      </c>
      <c r="E66" s="24" t="s">
        <v>282</v>
      </c>
      <c r="F66" s="15"/>
    </row>
    <row r="67" spans="1:6">
      <c r="A67" s="20" t="s">
        <v>669</v>
      </c>
      <c r="B67" s="228">
        <v>0.02</v>
      </c>
      <c r="C67" s="229">
        <v>0.05</v>
      </c>
      <c r="D67" s="230">
        <v>0.08</v>
      </c>
      <c r="E67" s="24" t="s">
        <v>282</v>
      </c>
      <c r="F67" s="15"/>
    </row>
    <row r="68" spans="1:6">
      <c r="A68" s="20" t="s">
        <v>670</v>
      </c>
      <c r="B68" s="228">
        <v>-0.02</v>
      </c>
      <c r="C68" s="229">
        <v>0.02</v>
      </c>
      <c r="D68" s="230">
        <v>0.05</v>
      </c>
      <c r="E68" s="24" t="s">
        <v>282</v>
      </c>
      <c r="F68" s="15"/>
    </row>
    <row r="69" spans="1:6">
      <c r="A69" s="20" t="s">
        <v>671</v>
      </c>
      <c r="B69" s="228">
        <v>-0.04</v>
      </c>
      <c r="C69" s="229">
        <v>0.02</v>
      </c>
      <c r="D69" s="230">
        <v>0.06</v>
      </c>
      <c r="E69" s="24" t="s">
        <v>282</v>
      </c>
      <c r="F69" s="15"/>
    </row>
    <row r="70" spans="1:6">
      <c r="A70" s="20" t="s">
        <v>284</v>
      </c>
      <c r="B70" s="21">
        <v>0.06</v>
      </c>
      <c r="C70" s="22">
        <v>0.105</v>
      </c>
      <c r="D70" s="23">
        <v>0.14000000000000001</v>
      </c>
      <c r="E70" s="24" t="s">
        <v>282</v>
      </c>
      <c r="F70" s="15" t="s">
        <v>285</v>
      </c>
    </row>
    <row r="71" spans="1:6">
      <c r="A71" s="20" t="s">
        <v>286</v>
      </c>
      <c r="B71" s="21">
        <v>0.36</v>
      </c>
      <c r="C71" s="22">
        <v>0.38500000000000001</v>
      </c>
      <c r="D71" s="23">
        <v>0.40500000000000003</v>
      </c>
      <c r="E71" s="24" t="s">
        <v>282</v>
      </c>
      <c r="F71" s="15" t="s">
        <v>287</v>
      </c>
    </row>
    <row r="72" spans="1:6">
      <c r="A72" s="20" t="s">
        <v>288</v>
      </c>
      <c r="B72" s="21">
        <v>0.74</v>
      </c>
      <c r="C72" s="22">
        <v>0.76</v>
      </c>
      <c r="D72" s="23">
        <v>0.78</v>
      </c>
      <c r="E72" s="24" t="s">
        <v>282</v>
      </c>
      <c r="F72" s="15" t="s">
        <v>289</v>
      </c>
    </row>
    <row r="73" spans="1:6">
      <c r="A73" s="20" t="s">
        <v>290</v>
      </c>
      <c r="B73" s="21">
        <v>0.1</v>
      </c>
      <c r="C73" s="22">
        <v>7.4999999999999997E-2</v>
      </c>
      <c r="D73" s="23">
        <v>0.05</v>
      </c>
      <c r="E73" s="24" t="s">
        <v>282</v>
      </c>
      <c r="F73" s="15" t="s">
        <v>291</v>
      </c>
    </row>
    <row r="74" spans="1:6">
      <c r="A74" s="20" t="s">
        <v>292</v>
      </c>
      <c r="B74" s="21">
        <v>7.0000000000000007E-2</v>
      </c>
      <c r="C74" s="22">
        <v>4.4999999999999998E-2</v>
      </c>
      <c r="D74" s="23">
        <v>0.03</v>
      </c>
      <c r="E74" s="24" t="s">
        <v>282</v>
      </c>
      <c r="F74" s="15" t="s">
        <v>293</v>
      </c>
    </row>
    <row r="75" spans="1:6">
      <c r="A75" s="20" t="s">
        <v>249</v>
      </c>
      <c r="B75" s="21">
        <v>0.18</v>
      </c>
      <c r="C75" s="22">
        <v>0.15</v>
      </c>
      <c r="D75" s="23">
        <v>0.13</v>
      </c>
      <c r="E75" s="24" t="s">
        <v>282</v>
      </c>
      <c r="F75" s="15" t="s">
        <v>294</v>
      </c>
    </row>
    <row r="76" spans="1:6">
      <c r="A76" s="20" t="s">
        <v>295</v>
      </c>
      <c r="B76" s="21">
        <v>3.5000000000000003E-2</v>
      </c>
      <c r="C76" s="22">
        <v>2.8000000000000001E-2</v>
      </c>
      <c r="D76" s="23">
        <v>2.1999999999999999E-2</v>
      </c>
      <c r="E76" s="24" t="s">
        <v>282</v>
      </c>
      <c r="F76" s="15" t="s">
        <v>296</v>
      </c>
    </row>
    <row r="77" spans="1:6">
      <c r="A77" s="20" t="s">
        <v>297</v>
      </c>
      <c r="B77" s="25">
        <v>1.25</v>
      </c>
      <c r="C77" s="26">
        <v>1.1000000000000001</v>
      </c>
      <c r="D77" s="27">
        <v>0.95</v>
      </c>
      <c r="E77" s="24" t="s">
        <v>298</v>
      </c>
      <c r="F77" s="15" t="s">
        <v>299</v>
      </c>
    </row>
    <row r="78" spans="1:6">
      <c r="A78" s="20" t="s">
        <v>271</v>
      </c>
      <c r="B78" s="21">
        <v>0.02</v>
      </c>
      <c r="C78" s="22">
        <v>2.5000000000000001E-2</v>
      </c>
      <c r="D78" s="23">
        <v>0.03</v>
      </c>
      <c r="E78" s="24" t="s">
        <v>282</v>
      </c>
      <c r="F78" s="15" t="s">
        <v>300</v>
      </c>
    </row>
    <row r="79" spans="1:6">
      <c r="A79" s="20" t="s">
        <v>261</v>
      </c>
      <c r="B79" s="21">
        <v>0.05</v>
      </c>
      <c r="C79" s="22">
        <v>4.4999999999999998E-2</v>
      </c>
      <c r="D79" s="23">
        <v>0.04</v>
      </c>
      <c r="E79" s="24" t="s">
        <v>282</v>
      </c>
      <c r="F79" s="15" t="s">
        <v>301</v>
      </c>
    </row>
    <row r="80" spans="1:6">
      <c r="A80" s="20" t="s">
        <v>262</v>
      </c>
      <c r="B80" s="21">
        <v>5.5E-2</v>
      </c>
      <c r="C80" s="22">
        <v>0.05</v>
      </c>
      <c r="D80" s="23">
        <v>4.4999999999999998E-2</v>
      </c>
      <c r="E80" s="24" t="s">
        <v>282</v>
      </c>
      <c r="F80" s="15" t="s">
        <v>302</v>
      </c>
    </row>
    <row r="81" spans="1:13">
      <c r="A81" s="20" t="s">
        <v>258</v>
      </c>
      <c r="B81" s="21">
        <v>0.85</v>
      </c>
      <c r="C81" s="22">
        <v>0.95</v>
      </c>
      <c r="D81" s="23">
        <v>1.05</v>
      </c>
      <c r="E81" s="24" t="s">
        <v>282</v>
      </c>
    </row>
    <row r="82" spans="1:13">
      <c r="A82" s="20" t="s">
        <v>259</v>
      </c>
      <c r="B82" s="21">
        <v>0.18</v>
      </c>
      <c r="C82" s="22">
        <v>0.15</v>
      </c>
      <c r="D82" s="23">
        <v>0.12</v>
      </c>
      <c r="E82" s="24" t="s">
        <v>282</v>
      </c>
    </row>
    <row r="83" spans="1:13">
      <c r="A83" s="20" t="s">
        <v>672</v>
      </c>
      <c r="B83" s="235">
        <v>-500</v>
      </c>
      <c r="C83" s="236">
        <v>0</v>
      </c>
      <c r="D83" s="237">
        <v>500</v>
      </c>
      <c r="E83" s="24" t="s">
        <v>567</v>
      </c>
    </row>
    <row r="84" spans="1:13">
      <c r="A84" s="20" t="s">
        <v>673</v>
      </c>
      <c r="B84" s="21">
        <v>3.2000000000000001E-2</v>
      </c>
      <c r="C84" s="22">
        <v>2.8000000000000001E-2</v>
      </c>
      <c r="D84" s="23">
        <v>2.5000000000000001E-2</v>
      </c>
      <c r="E84" s="24" t="s">
        <v>282</v>
      </c>
    </row>
    <row r="86" spans="1:13">
      <c r="A86" s="238" t="s">
        <v>676</v>
      </c>
    </row>
    <row r="87" spans="1:13">
      <c r="A87" s="240" t="s">
        <v>7</v>
      </c>
      <c r="B87" s="241" t="s">
        <v>677</v>
      </c>
      <c r="C87" s="241" t="s">
        <v>678</v>
      </c>
      <c r="D87" s="241" t="s">
        <v>679</v>
      </c>
      <c r="E87" s="241" t="s">
        <v>680</v>
      </c>
      <c r="F87" s="241" t="s">
        <v>681</v>
      </c>
      <c r="G87" s="241" t="s">
        <v>682</v>
      </c>
      <c r="H87" s="241" t="s">
        <v>683</v>
      </c>
      <c r="I87" s="241" t="s">
        <v>684</v>
      </c>
      <c r="J87" s="241" t="s">
        <v>685</v>
      </c>
      <c r="K87" s="241" t="s">
        <v>687</v>
      </c>
      <c r="L87" s="241" t="s">
        <v>688</v>
      </c>
      <c r="M87" s="241" t="s">
        <v>689</v>
      </c>
    </row>
    <row r="88" spans="1:13">
      <c r="A88" t="s">
        <v>635</v>
      </c>
      <c r="B88" s="239">
        <v>42000</v>
      </c>
      <c r="C88" s="239">
        <v>40000</v>
      </c>
      <c r="D88" s="239">
        <v>38000</v>
      </c>
      <c r="E88" s="239">
        <v>44000</v>
      </c>
      <c r="F88" s="239">
        <v>42000</v>
      </c>
      <c r="G88" s="239">
        <v>40000</v>
      </c>
      <c r="H88" s="239">
        <v>46000</v>
      </c>
      <c r="I88" s="239">
        <v>44000</v>
      </c>
      <c r="J88" s="239">
        <v>42000</v>
      </c>
      <c r="K88" s="239">
        <v>46000</v>
      </c>
      <c r="L88" s="239">
        <v>44000</v>
      </c>
      <c r="M88" s="239">
        <v>42000</v>
      </c>
    </row>
    <row r="89" spans="1:13">
      <c r="A89" t="s">
        <v>75</v>
      </c>
      <c r="B89" s="239">
        <v>-9000</v>
      </c>
      <c r="C89" s="239">
        <v>-9200</v>
      </c>
      <c r="D89" s="239">
        <v>-9400</v>
      </c>
      <c r="E89" s="239">
        <v>-9500</v>
      </c>
      <c r="F89" s="239">
        <v>-9700</v>
      </c>
      <c r="G89" s="239">
        <v>-9900</v>
      </c>
      <c r="H89" s="239">
        <v>-10200</v>
      </c>
      <c r="I89" s="239">
        <v>-10400</v>
      </c>
      <c r="J89" s="239">
        <v>-10600</v>
      </c>
      <c r="K89" s="239">
        <v>-10200</v>
      </c>
      <c r="L89" s="239">
        <v>-10400</v>
      </c>
      <c r="M89" s="239">
        <v>-10600</v>
      </c>
    </row>
    <row r="90" spans="1:13">
      <c r="A90" t="s">
        <v>77</v>
      </c>
      <c r="B90" s="239">
        <v>116000</v>
      </c>
      <c r="C90" s="239">
        <v>117000</v>
      </c>
      <c r="D90" s="239">
        <v>118000</v>
      </c>
      <c r="E90" s="239">
        <v>123000</v>
      </c>
      <c r="F90" s="239">
        <v>124000</v>
      </c>
      <c r="G90" s="239">
        <v>125000</v>
      </c>
      <c r="H90" s="239">
        <v>130000</v>
      </c>
      <c r="I90" s="239">
        <v>131000</v>
      </c>
      <c r="J90" s="239">
        <v>132000</v>
      </c>
      <c r="K90" s="239">
        <v>130000</v>
      </c>
      <c r="L90" s="239">
        <v>131000</v>
      </c>
      <c r="M90" s="239">
        <v>132000</v>
      </c>
    </row>
    <row r="91" spans="1:13">
      <c r="A91" t="s">
        <v>643</v>
      </c>
      <c r="B91" s="239">
        <v>-1500</v>
      </c>
      <c r="C91" s="239">
        <v>-2800</v>
      </c>
      <c r="D91" s="239">
        <v>-4000</v>
      </c>
      <c r="E91" s="239">
        <v>-1000</v>
      </c>
      <c r="F91" s="239">
        <v>-2100</v>
      </c>
      <c r="G91" s="239">
        <v>-3300</v>
      </c>
      <c r="H91" s="239">
        <v>-2200</v>
      </c>
      <c r="I91" s="239">
        <v>-3400</v>
      </c>
      <c r="J91" s="239">
        <v>-4500</v>
      </c>
      <c r="K91" s="239">
        <v>-2200</v>
      </c>
      <c r="L91" s="239">
        <v>-3400</v>
      </c>
      <c r="M91" s="239">
        <v>-4500</v>
      </c>
    </row>
    <row r="92" spans="1:13">
      <c r="A92" t="s">
        <v>644</v>
      </c>
      <c r="B92" s="239">
        <v>2500</v>
      </c>
      <c r="C92" s="239">
        <v>2000</v>
      </c>
      <c r="D92" s="239">
        <v>1500</v>
      </c>
      <c r="E92" s="239">
        <v>500</v>
      </c>
      <c r="F92" s="239">
        <v>0</v>
      </c>
      <c r="G92" s="239">
        <v>0</v>
      </c>
      <c r="H92" s="239">
        <v>500</v>
      </c>
      <c r="I92" s="239">
        <v>0</v>
      </c>
      <c r="J92" s="239">
        <v>0</v>
      </c>
      <c r="K92" s="239">
        <v>500</v>
      </c>
      <c r="L92" s="239">
        <v>0</v>
      </c>
      <c r="M92" s="239">
        <v>0</v>
      </c>
    </row>
    <row r="93" spans="1:13">
      <c r="A93" t="s">
        <v>82</v>
      </c>
      <c r="B93" s="239">
        <v>70000</v>
      </c>
      <c r="C93" s="239">
        <v>65000</v>
      </c>
      <c r="D93" s="239">
        <v>60000</v>
      </c>
      <c r="E93" s="239">
        <v>60000</v>
      </c>
      <c r="F93" s="239">
        <v>55000</v>
      </c>
      <c r="G93" s="239">
        <v>50000</v>
      </c>
      <c r="H93" s="239">
        <v>50000</v>
      </c>
      <c r="I93" s="239">
        <v>45000</v>
      </c>
      <c r="J93" s="239">
        <v>40000</v>
      </c>
      <c r="K93" s="239">
        <v>50000</v>
      </c>
      <c r="L93" s="239">
        <v>45000</v>
      </c>
      <c r="M93" s="239">
        <v>40000</v>
      </c>
    </row>
    <row r="94" spans="1:13">
      <c r="A94" t="s">
        <v>203</v>
      </c>
      <c r="B94" s="239">
        <v>33000</v>
      </c>
      <c r="C94" s="239">
        <v>32000</v>
      </c>
      <c r="D94" s="239">
        <v>31000</v>
      </c>
      <c r="E94" s="239">
        <v>32000</v>
      </c>
      <c r="F94" s="239">
        <v>31000</v>
      </c>
      <c r="G94" s="239">
        <v>30000</v>
      </c>
      <c r="H94" s="239">
        <v>31000</v>
      </c>
      <c r="I94" s="239">
        <v>30000</v>
      </c>
      <c r="J94" s="239">
        <v>29000</v>
      </c>
      <c r="K94" s="239">
        <v>31000</v>
      </c>
      <c r="L94" s="239">
        <v>30000</v>
      </c>
      <c r="M94" s="239">
        <v>29000</v>
      </c>
    </row>
    <row r="95" spans="1:13">
      <c r="A95" t="s">
        <v>652</v>
      </c>
      <c r="B95" s="239">
        <v>200</v>
      </c>
      <c r="C95" s="239">
        <v>157</v>
      </c>
      <c r="D95" s="239">
        <v>100</v>
      </c>
      <c r="E95" s="239">
        <v>200</v>
      </c>
      <c r="F95" s="239">
        <v>149</v>
      </c>
      <c r="G95" s="239">
        <v>80</v>
      </c>
      <c r="H95" s="239">
        <v>200</v>
      </c>
      <c r="I95" s="239">
        <v>137</v>
      </c>
      <c r="J95" s="239">
        <v>60</v>
      </c>
      <c r="K95" s="239">
        <v>200</v>
      </c>
      <c r="L95" s="239">
        <v>137</v>
      </c>
      <c r="M95" s="239">
        <v>60</v>
      </c>
    </row>
  </sheetData>
  <mergeCells count="11">
    <mergeCell ref="A57:D57"/>
    <mergeCell ref="A23:J23"/>
    <mergeCell ref="A27:J27"/>
    <mergeCell ref="A36:J36"/>
    <mergeCell ref="A40:J40"/>
    <mergeCell ref="A44:D44"/>
    <mergeCell ref="A1:J1"/>
    <mergeCell ref="A2:J2"/>
    <mergeCell ref="A7:J7"/>
    <mergeCell ref="A15:J15"/>
    <mergeCell ref="A19:J19"/>
  </mergeCells>
  <phoneticPr fontId="113" type="noConversion"/>
  <conditionalFormatting sqref="B62">
    <cfRule type="expression" dxfId="2" priority="2">
      <formula>UPPER(B62)="BEAR"</formula>
    </cfRule>
    <cfRule type="expression" dxfId="1" priority="3">
      <formula>UPPER(B62)="BASE"</formula>
    </cfRule>
    <cfRule type="expression" dxfId="0" priority="4">
      <formula>UPPER(B62)="BULL"</formula>
    </cfRule>
  </conditionalFormatting>
  <dataValidations count="1">
    <dataValidation type="list" sqref="B62" xr:uid="{00000000-0002-0000-0500-000000000000}">
      <formula1>"Base,Bull,Bear"</formula1>
      <formula2>0</formula2>
    </dataValidation>
  </dataValidations>
  <pageMargins left="0.25" right="0.25" top="0.4" bottom="0.4" header="0.511811023622047" footer="0.511811023622047"/>
  <pageSetup paperSize="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1E3"/>
    <pageSetUpPr fitToPage="1"/>
  </sheetPr>
  <dimension ref="A1:L83"/>
  <sheetViews>
    <sheetView showGridLines="0" topLeftCell="A34" zoomScaleNormal="100" workbookViewId="0">
      <selection activeCell="D16" sqref="D16"/>
    </sheetView>
  </sheetViews>
  <sheetFormatPr defaultColWidth="8.6328125" defaultRowHeight="14.5"/>
  <cols>
    <col min="1" max="1" width="42" customWidth="1"/>
    <col min="2" max="9" width="13" customWidth="1"/>
    <col min="10" max="10" width="13.6328125" customWidth="1"/>
  </cols>
  <sheetData>
    <row r="1" spans="1:10" ht="31.5" customHeight="1">
      <c r="A1" s="318" t="s">
        <v>744</v>
      </c>
      <c r="B1" s="318"/>
      <c r="C1" s="318"/>
      <c r="D1" s="318"/>
      <c r="E1" s="318"/>
      <c r="F1" s="318"/>
      <c r="G1" s="318"/>
      <c r="H1" s="318"/>
      <c r="I1" s="318"/>
      <c r="J1" s="318"/>
    </row>
    <row r="2" spans="1:10" ht="19.5" customHeight="1">
      <c r="A2" s="330" t="s">
        <v>303</v>
      </c>
      <c r="B2" s="330"/>
      <c r="C2" s="330"/>
      <c r="D2" s="330"/>
      <c r="E2" s="330"/>
      <c r="F2" s="330"/>
      <c r="G2" s="330"/>
      <c r="H2" s="330"/>
      <c r="I2" s="330"/>
      <c r="J2" s="330"/>
    </row>
    <row r="3" spans="1:10" ht="6" customHeight="1">
      <c r="A3" s="47"/>
      <c r="B3" s="47"/>
      <c r="C3" s="47"/>
      <c r="D3" s="47"/>
      <c r="E3" s="47"/>
      <c r="F3" s="47"/>
      <c r="G3" s="47"/>
      <c r="H3" s="47"/>
      <c r="I3" s="47"/>
      <c r="J3" s="47"/>
    </row>
    <row r="4" spans="1:10" ht="15" customHeight="1" thickBot="1">
      <c r="A4" s="99" t="s">
        <v>237</v>
      </c>
      <c r="B4" s="100" t="s">
        <v>32</v>
      </c>
      <c r="C4" s="100" t="s">
        <v>33</v>
      </c>
      <c r="D4" s="100" t="s">
        <v>34</v>
      </c>
      <c r="E4" s="100" t="s">
        <v>35</v>
      </c>
      <c r="F4" s="100" t="s">
        <v>36</v>
      </c>
      <c r="G4" s="101" t="s">
        <v>37</v>
      </c>
      <c r="H4" s="101" t="s">
        <v>38</v>
      </c>
      <c r="I4" s="101" t="s">
        <v>39</v>
      </c>
      <c r="J4" s="101" t="s">
        <v>674</v>
      </c>
    </row>
    <row r="5" spans="1:10" ht="15" customHeight="1">
      <c r="B5" s="102" t="s">
        <v>54</v>
      </c>
      <c r="C5" s="102" t="s">
        <v>55</v>
      </c>
      <c r="D5" s="102" t="s">
        <v>56</v>
      </c>
      <c r="E5" s="102" t="s">
        <v>57</v>
      </c>
      <c r="F5" s="102" t="s">
        <v>58</v>
      </c>
      <c r="G5" s="102" t="s">
        <v>59</v>
      </c>
      <c r="H5" s="102" t="s">
        <v>60</v>
      </c>
      <c r="I5" s="102" t="s">
        <v>61</v>
      </c>
      <c r="J5" s="102" t="s">
        <v>675</v>
      </c>
    </row>
    <row r="7" spans="1:10" ht="18" customHeight="1">
      <c r="A7" s="331" t="s">
        <v>304</v>
      </c>
      <c r="B7" s="331"/>
      <c r="C7" s="331"/>
      <c r="D7" s="331"/>
      <c r="E7" s="331"/>
      <c r="F7" s="331"/>
      <c r="G7" s="331"/>
      <c r="H7" s="331"/>
      <c r="I7" s="331"/>
      <c r="J7" s="331"/>
    </row>
    <row r="8" spans="1:10" ht="15" customHeight="1">
      <c r="A8" s="189" t="s">
        <v>40</v>
      </c>
      <c r="B8" s="180">
        <v>297392</v>
      </c>
      <c r="C8" s="180">
        <v>316199</v>
      </c>
      <c r="D8" s="180">
        <v>298085</v>
      </c>
      <c r="E8" s="180">
        <v>294866</v>
      </c>
      <c r="F8" s="180">
        <v>307003</v>
      </c>
      <c r="G8" s="214">
        <f>SUM(G9:G12)</f>
        <v>325817.11</v>
      </c>
      <c r="H8" s="214">
        <f>SUM(H9:H12)</f>
        <v>345799.98790000001</v>
      </c>
      <c r="I8" s="214">
        <f>SUM(I9:I12)</f>
        <v>367025.37382300006</v>
      </c>
      <c r="J8" s="214">
        <f>SUM(J9:J12)</f>
        <v>389571.74244055006</v>
      </c>
    </row>
    <row r="9" spans="1:10" ht="15" customHeight="1">
      <c r="A9" s="188" t="s">
        <v>544</v>
      </c>
      <c r="B9" s="180">
        <v>191973</v>
      </c>
      <c r="C9" s="180">
        <v>205489</v>
      </c>
      <c r="D9" s="180">
        <v>200583</v>
      </c>
      <c r="E9" s="180">
        <v>201183</v>
      </c>
      <c r="F9" s="180">
        <v>209586</v>
      </c>
      <c r="G9" s="214">
        <f>F9*(1+Assumptions!G9)</f>
        <v>222161.16</v>
      </c>
      <c r="H9" s="214">
        <f>G9*(1+Assumptions!H9)</f>
        <v>235490.82960000003</v>
      </c>
      <c r="I9" s="214">
        <f>H9*(1+Assumptions!I9)</f>
        <v>249620.27937600005</v>
      </c>
      <c r="J9" s="214">
        <f>I9*(1+Assumptions!J9)</f>
        <v>264597.49613856006</v>
      </c>
    </row>
    <row r="10" spans="1:10" ht="15" customHeight="1">
      <c r="A10" s="188" t="s">
        <v>545</v>
      </c>
      <c r="B10" s="180">
        <v>35190</v>
      </c>
      <c r="C10" s="180">
        <v>40177</v>
      </c>
      <c r="D10" s="180">
        <v>29357</v>
      </c>
      <c r="E10" s="180">
        <v>29984</v>
      </c>
      <c r="F10" s="180">
        <v>33708</v>
      </c>
      <c r="G10" s="214">
        <f>F10*(1+Assumptions!G10)</f>
        <v>36404.639999999999</v>
      </c>
      <c r="H10" s="214">
        <f>G10*(1+Assumptions!H10)</f>
        <v>39317.011200000001</v>
      </c>
      <c r="I10" s="214">
        <f>H10*(1+Assumptions!I10)</f>
        <v>42462.372096000006</v>
      </c>
      <c r="J10" s="214">
        <f>I10*(1+Assumptions!J10)</f>
        <v>45859.361863680009</v>
      </c>
    </row>
    <row r="11" spans="1:10" ht="15" customHeight="1">
      <c r="A11" s="188" t="s">
        <v>546</v>
      </c>
      <c r="B11" s="180">
        <v>31862</v>
      </c>
      <c r="C11" s="180">
        <v>29292</v>
      </c>
      <c r="D11" s="180">
        <v>28300</v>
      </c>
      <c r="E11" s="180">
        <v>26694</v>
      </c>
      <c r="F11" s="180">
        <v>28023</v>
      </c>
      <c r="G11" s="214">
        <f>F11*(1+Assumptions!G11)</f>
        <v>29424.15</v>
      </c>
      <c r="H11" s="214">
        <f>G11*(1+Assumptions!H11)</f>
        <v>30895.357500000002</v>
      </c>
      <c r="I11" s="214">
        <f>H11*(1+Assumptions!I11)</f>
        <v>32440.125375000003</v>
      </c>
      <c r="J11" s="214">
        <f>I11*(1+Assumptions!J11)</f>
        <v>34062.131643750006</v>
      </c>
    </row>
    <row r="12" spans="1:10" ht="15" customHeight="1">
      <c r="A12" s="188" t="s">
        <v>606</v>
      </c>
      <c r="B12" s="180">
        <v>38367</v>
      </c>
      <c r="C12" s="180">
        <v>41241</v>
      </c>
      <c r="D12" s="180">
        <v>39845</v>
      </c>
      <c r="E12" s="180">
        <v>37005</v>
      </c>
      <c r="F12" s="180">
        <v>35686</v>
      </c>
      <c r="G12" s="214">
        <f>F12*(1+Assumptions!G12)</f>
        <v>37827.160000000003</v>
      </c>
      <c r="H12" s="214">
        <f>G12*(1+Assumptions!H12)</f>
        <v>40096.789600000004</v>
      </c>
      <c r="I12" s="214">
        <f>H12*(1+Assumptions!I12)</f>
        <v>42502.596976000008</v>
      </c>
      <c r="J12" s="214">
        <f>I12*(1+Assumptions!J12)</f>
        <v>45052.752794560009</v>
      </c>
    </row>
    <row r="13" spans="1:10" ht="15" customHeight="1">
      <c r="A13" s="189" t="s">
        <v>41</v>
      </c>
      <c r="B13" s="180">
        <v>68425</v>
      </c>
      <c r="C13" s="180">
        <v>78129</v>
      </c>
      <c r="D13" s="180">
        <v>85200</v>
      </c>
      <c r="E13" s="180">
        <v>96169</v>
      </c>
      <c r="F13" s="180">
        <v>109158</v>
      </c>
      <c r="G13" s="214">
        <f>F13*(1+Assumptions!G13)</f>
        <v>124440.12000000001</v>
      </c>
      <c r="H13" s="214">
        <f>G13*(1+Assumptions!H13)</f>
        <v>141861.73680000001</v>
      </c>
      <c r="I13" s="214">
        <f>H13*(1+Assumptions!I13)</f>
        <v>161722.37995200005</v>
      </c>
      <c r="J13" s="214">
        <f>I13*(1+Assumptions!J13)</f>
        <v>184363.51314528007</v>
      </c>
    </row>
    <row r="14" spans="1:10" ht="15" customHeight="1">
      <c r="A14" s="87" t="s">
        <v>42</v>
      </c>
      <c r="B14" s="111">
        <f>SUM(B9:B13)</f>
        <v>365817</v>
      </c>
      <c r="C14" s="111">
        <f t="shared" ref="C14:I14" si="0">SUM(C9:C13)</f>
        <v>394328</v>
      </c>
      <c r="D14" s="111">
        <f t="shared" si="0"/>
        <v>383285</v>
      </c>
      <c r="E14" s="111">
        <f t="shared" si="0"/>
        <v>391035</v>
      </c>
      <c r="F14" s="111">
        <f t="shared" si="0"/>
        <v>416161</v>
      </c>
      <c r="G14" s="198">
        <f t="shared" si="0"/>
        <v>450257.23</v>
      </c>
      <c r="H14" s="198">
        <f t="shared" si="0"/>
        <v>487661.72470000002</v>
      </c>
      <c r="I14" s="198">
        <f t="shared" si="0"/>
        <v>528747.75377500011</v>
      </c>
      <c r="J14" s="198">
        <f>SUM(J9:J13)</f>
        <v>573935.25558583019</v>
      </c>
    </row>
    <row r="15" spans="1:10" ht="15" customHeight="1">
      <c r="A15" s="87" t="s">
        <v>625</v>
      </c>
      <c r="B15" s="190" t="s">
        <v>626</v>
      </c>
      <c r="C15" s="191">
        <f>(C14-B14)/B14</f>
        <v>7.7937876041846058E-2</v>
      </c>
      <c r="D15" s="191">
        <f t="shared" ref="D15:I15" si="1">(D14-C14)/C14</f>
        <v>-2.8004605303199367E-2</v>
      </c>
      <c r="E15" s="191">
        <f t="shared" si="1"/>
        <v>2.0219940775141214E-2</v>
      </c>
      <c r="F15" s="191">
        <f t="shared" si="1"/>
        <v>6.4255117828327393E-2</v>
      </c>
      <c r="G15" s="193">
        <f t="shared" si="1"/>
        <v>8.1930382712459796E-2</v>
      </c>
      <c r="H15" s="193">
        <f t="shared" si="1"/>
        <v>8.3073612610285105E-2</v>
      </c>
      <c r="I15" s="193">
        <f t="shared" si="1"/>
        <v>8.425108429470328E-2</v>
      </c>
      <c r="J15" s="193">
        <f>(J14-I14)/I14</f>
        <v>8.5461359387748598E-2</v>
      </c>
    </row>
    <row r="16" spans="1:10" ht="15" customHeight="1"/>
    <row r="17" spans="1:10" ht="18" customHeight="1">
      <c r="A17" s="331" t="s">
        <v>305</v>
      </c>
      <c r="B17" s="331"/>
      <c r="C17" s="331"/>
      <c r="D17" s="331"/>
      <c r="E17" s="331"/>
      <c r="F17" s="331"/>
      <c r="G17" s="331"/>
      <c r="H17" s="331"/>
      <c r="I17" s="331"/>
      <c r="J17" s="331"/>
    </row>
    <row r="18" spans="1:10" ht="15" customHeight="1">
      <c r="A18" s="103" t="s">
        <v>62</v>
      </c>
      <c r="B18" s="108">
        <v>192266</v>
      </c>
      <c r="C18" s="108">
        <v>201471</v>
      </c>
      <c r="D18" s="108">
        <v>189282</v>
      </c>
      <c r="E18" s="108">
        <v>185233</v>
      </c>
      <c r="F18" s="108">
        <v>194116</v>
      </c>
      <c r="G18" s="109">
        <f>G8*(1-Assumptions!G16)</f>
        <v>193861.18044999999</v>
      </c>
      <c r="H18" s="109">
        <f>H8*(1-Assumptions!H16)</f>
        <v>205750.99280049998</v>
      </c>
      <c r="I18" s="109">
        <f>I8*(1-Assumptions!I16)</f>
        <v>218380.09742468502</v>
      </c>
      <c r="J18" s="109">
        <f>J8*(1-Assumptions!J16)</f>
        <v>231795.18675212728</v>
      </c>
    </row>
    <row r="19" spans="1:10" ht="15" customHeight="1">
      <c r="A19" s="103" t="s">
        <v>63</v>
      </c>
      <c r="B19" s="108">
        <v>20715</v>
      </c>
      <c r="C19" s="108">
        <v>22075</v>
      </c>
      <c r="D19" s="108">
        <v>24855</v>
      </c>
      <c r="E19" s="108">
        <v>25119</v>
      </c>
      <c r="F19" s="108">
        <v>26844</v>
      </c>
      <c r="G19" s="109">
        <f>G13*(1-Assumptions!G17)</f>
        <v>27376.826399999998</v>
      </c>
      <c r="H19" s="109">
        <f>H13*(1-Assumptions!H17)</f>
        <v>31209.582095999998</v>
      </c>
      <c r="I19" s="109">
        <f>I13*(1-Assumptions!I17)</f>
        <v>35578.923589440004</v>
      </c>
      <c r="J19" s="109">
        <f>J13*(1-Assumptions!J17)</f>
        <v>40559.97289196161</v>
      </c>
    </row>
    <row r="20" spans="1:10" ht="15" customHeight="1">
      <c r="A20" s="87" t="s">
        <v>64</v>
      </c>
      <c r="B20" s="111">
        <f t="shared" ref="B20:J20" si="2">SUM(B18:B19)</f>
        <v>212981</v>
      </c>
      <c r="C20" s="111">
        <f t="shared" si="2"/>
        <v>223546</v>
      </c>
      <c r="D20" s="111">
        <f t="shared" si="2"/>
        <v>214137</v>
      </c>
      <c r="E20" s="111">
        <f t="shared" si="2"/>
        <v>210352</v>
      </c>
      <c r="F20" s="111">
        <f t="shared" si="2"/>
        <v>220960</v>
      </c>
      <c r="G20" s="112">
        <f t="shared" si="2"/>
        <v>221238.00684999998</v>
      </c>
      <c r="H20" s="112">
        <f t="shared" si="2"/>
        <v>236960.57489649998</v>
      </c>
      <c r="I20" s="112">
        <f t="shared" si="2"/>
        <v>253959.02101412503</v>
      </c>
      <c r="J20" s="112">
        <f t="shared" si="2"/>
        <v>272355.15964408888</v>
      </c>
    </row>
    <row r="21" spans="1:10" ht="15" customHeight="1">
      <c r="A21" s="87" t="s">
        <v>65</v>
      </c>
      <c r="B21" s="111">
        <f t="shared" ref="B21:J21" si="3">B14-B20</f>
        <v>152836</v>
      </c>
      <c r="C21" s="111">
        <f t="shared" si="3"/>
        <v>170782</v>
      </c>
      <c r="D21" s="111">
        <f t="shared" si="3"/>
        <v>169148</v>
      </c>
      <c r="E21" s="111">
        <f t="shared" si="3"/>
        <v>180683</v>
      </c>
      <c r="F21" s="111">
        <f t="shared" si="3"/>
        <v>195201</v>
      </c>
      <c r="G21" s="112">
        <f t="shared" si="3"/>
        <v>229019.22315000001</v>
      </c>
      <c r="H21" s="112">
        <f t="shared" si="3"/>
        <v>250701.14980350004</v>
      </c>
      <c r="I21" s="112">
        <f t="shared" si="3"/>
        <v>274788.73276087508</v>
      </c>
      <c r="J21" s="112">
        <f t="shared" si="3"/>
        <v>301580.09594174131</v>
      </c>
    </row>
    <row r="22" spans="1:10" ht="15" customHeight="1">
      <c r="A22" s="113" t="s">
        <v>306</v>
      </c>
      <c r="B22" s="192">
        <f>B21/B14</f>
        <v>0.41779359625167778</v>
      </c>
      <c r="C22" s="192">
        <f t="shared" ref="C22:I22" si="4">C21/C14</f>
        <v>0.43309630561360085</v>
      </c>
      <c r="D22" s="192">
        <f t="shared" si="4"/>
        <v>0.44131129577207562</v>
      </c>
      <c r="E22" s="192">
        <f t="shared" si="4"/>
        <v>0.46206349815233932</v>
      </c>
      <c r="F22" s="192">
        <f t="shared" si="4"/>
        <v>0.46905164107160452</v>
      </c>
      <c r="G22" s="193">
        <f t="shared" si="4"/>
        <v>0.50864085658324687</v>
      </c>
      <c r="H22" s="193">
        <f t="shared" si="4"/>
        <v>0.5140882236712887</v>
      </c>
      <c r="I22" s="193">
        <f t="shared" si="4"/>
        <v>0.51969721062457108</v>
      </c>
      <c r="J22" s="193">
        <f>J21/J14</f>
        <v>0.52546013336279696</v>
      </c>
    </row>
    <row r="24" spans="1:10" ht="18" customHeight="1">
      <c r="A24" s="331" t="s">
        <v>307</v>
      </c>
      <c r="B24" s="331"/>
      <c r="C24" s="331"/>
      <c r="D24" s="331"/>
      <c r="E24" s="331"/>
      <c r="F24" s="331"/>
      <c r="G24" s="331"/>
      <c r="H24" s="331"/>
      <c r="I24" s="331"/>
      <c r="J24" s="331"/>
    </row>
    <row r="25" spans="1:10" ht="15" customHeight="1">
      <c r="A25" s="103" t="s">
        <v>66</v>
      </c>
      <c r="B25" s="108">
        <v>21914</v>
      </c>
      <c r="C25" s="108">
        <v>26251</v>
      </c>
      <c r="D25" s="108">
        <v>29915</v>
      </c>
      <c r="E25" s="108">
        <v>31370</v>
      </c>
      <c r="F25" s="108">
        <v>34550</v>
      </c>
      <c r="G25" s="109">
        <f>F25*(1+Assumptions!G20)</f>
        <v>36277.5</v>
      </c>
      <c r="H25" s="109">
        <f>G25*(1+Assumptions!H20)</f>
        <v>38091.375</v>
      </c>
      <c r="I25" s="109">
        <f>H25*(1+Assumptions!I20)</f>
        <v>39995.943749999999</v>
      </c>
      <c r="J25" s="109">
        <f>I25*(1+Assumptions!J20)</f>
        <v>41995.740937499999</v>
      </c>
    </row>
    <row r="26" spans="1:10" ht="15" customHeight="1">
      <c r="A26" s="103" t="s">
        <v>308</v>
      </c>
      <c r="B26" s="108">
        <v>21973</v>
      </c>
      <c r="C26" s="108">
        <v>25094</v>
      </c>
      <c r="D26" s="108">
        <v>24932</v>
      </c>
      <c r="E26" s="108">
        <v>26097</v>
      </c>
      <c r="F26" s="108">
        <v>27601</v>
      </c>
      <c r="G26" s="109">
        <f>F26*(1+Assumptions!G21)</f>
        <v>28429.030000000002</v>
      </c>
      <c r="H26" s="109">
        <f>G26*(1+Assumptions!H21)</f>
        <v>29281.900900000004</v>
      </c>
      <c r="I26" s="109">
        <f>H26*(1+Assumptions!I21)</f>
        <v>30160.357927000005</v>
      </c>
      <c r="J26" s="109">
        <f>I26*(1+Assumptions!J21)</f>
        <v>31065.168664810004</v>
      </c>
    </row>
    <row r="27" spans="1:10" ht="15" customHeight="1">
      <c r="A27" s="110" t="s">
        <v>67</v>
      </c>
      <c r="B27" s="111">
        <f t="shared" ref="B27:I27" si="5">SUM(B25:B26)</f>
        <v>43887</v>
      </c>
      <c r="C27" s="111">
        <f t="shared" si="5"/>
        <v>51345</v>
      </c>
      <c r="D27" s="111">
        <f t="shared" si="5"/>
        <v>54847</v>
      </c>
      <c r="E27" s="111">
        <f t="shared" si="5"/>
        <v>57467</v>
      </c>
      <c r="F27" s="111">
        <f t="shared" si="5"/>
        <v>62151</v>
      </c>
      <c r="G27" s="112">
        <f t="shared" si="5"/>
        <v>64706.53</v>
      </c>
      <c r="H27" s="112">
        <f t="shared" si="5"/>
        <v>67373.275900000008</v>
      </c>
      <c r="I27" s="112">
        <f t="shared" si="5"/>
        <v>70156.30167700001</v>
      </c>
      <c r="J27" s="112">
        <f>SUM(J25:J26)</f>
        <v>73060.909602309999</v>
      </c>
    </row>
    <row r="28" spans="1:10" ht="15" customHeight="1">
      <c r="A28" s="87" t="s">
        <v>68</v>
      </c>
      <c r="B28" s="114">
        <f>B21-B27</f>
        <v>108949</v>
      </c>
      <c r="C28" s="114">
        <f t="shared" ref="C28:I28" si="6">C21-C27</f>
        <v>119437</v>
      </c>
      <c r="D28" s="114">
        <f t="shared" si="6"/>
        <v>114301</v>
      </c>
      <c r="E28" s="114">
        <f t="shared" si="6"/>
        <v>123216</v>
      </c>
      <c r="F28" s="114">
        <f t="shared" si="6"/>
        <v>133050</v>
      </c>
      <c r="G28" s="115">
        <f t="shared" si="6"/>
        <v>164312.69315000001</v>
      </c>
      <c r="H28" s="115">
        <f t="shared" si="6"/>
        <v>183327.87390350003</v>
      </c>
      <c r="I28" s="115">
        <f t="shared" si="6"/>
        <v>204632.43108387507</v>
      </c>
      <c r="J28" s="115">
        <f>J21-J27</f>
        <v>228519.18633943133</v>
      </c>
    </row>
    <row r="29" spans="1:10" ht="15" customHeight="1">
      <c r="A29" s="113" t="s">
        <v>309</v>
      </c>
      <c r="B29" s="192">
        <f>B28/B14</f>
        <v>0.29782377527561593</v>
      </c>
      <c r="C29" s="192">
        <f t="shared" ref="C29:I29" si="7">C28/C14</f>
        <v>0.30288744395528594</v>
      </c>
      <c r="D29" s="192">
        <f t="shared" si="7"/>
        <v>0.29821412265024722</v>
      </c>
      <c r="E29" s="192">
        <f t="shared" si="7"/>
        <v>0.31510222870075566</v>
      </c>
      <c r="F29" s="192">
        <f t="shared" si="7"/>
        <v>0.31970799762591884</v>
      </c>
      <c r="G29" s="193">
        <f t="shared" si="7"/>
        <v>0.36493071560450013</v>
      </c>
      <c r="H29" s="193">
        <f t="shared" si="7"/>
        <v>0.37593246428408905</v>
      </c>
      <c r="I29" s="193">
        <f t="shared" si="7"/>
        <v>0.38701333409532179</v>
      </c>
      <c r="J29" s="193">
        <f>J28/J14</f>
        <v>0.39816196010850741</v>
      </c>
    </row>
    <row r="30" spans="1:10" ht="15" customHeight="1">
      <c r="A30" s="113" t="s">
        <v>627</v>
      </c>
      <c r="B30" s="108">
        <v>11284</v>
      </c>
      <c r="C30" s="108">
        <v>11104</v>
      </c>
      <c r="D30" s="108">
        <v>11519</v>
      </c>
      <c r="E30" s="108">
        <v>11445</v>
      </c>
      <c r="F30" s="108">
        <v>11698</v>
      </c>
      <c r="G30" s="109">
        <f>Assumptions!G38</f>
        <v>11256.43075</v>
      </c>
      <c r="H30" s="109">
        <f>Assumptions!H38</f>
        <v>12191.543117500001</v>
      </c>
      <c r="I30" s="109">
        <f>Assumptions!I38</f>
        <v>13218.693844375004</v>
      </c>
      <c r="J30" s="109">
        <f>Assumptions!J38</f>
        <v>14348.381389645756</v>
      </c>
    </row>
    <row r="31" spans="1:10" ht="15" customHeight="1">
      <c r="A31" s="113" t="s">
        <v>628</v>
      </c>
      <c r="B31" s="114">
        <f>B28+B30</f>
        <v>120233</v>
      </c>
      <c r="C31" s="114">
        <f t="shared" ref="C31:I31" si="8">C28+C30</f>
        <v>130541</v>
      </c>
      <c r="D31" s="114">
        <f t="shared" si="8"/>
        <v>125820</v>
      </c>
      <c r="E31" s="114">
        <f t="shared" si="8"/>
        <v>134661</v>
      </c>
      <c r="F31" s="114">
        <f t="shared" si="8"/>
        <v>144748</v>
      </c>
      <c r="G31" s="115">
        <f t="shared" si="8"/>
        <v>175569.12390000001</v>
      </c>
      <c r="H31" s="115">
        <f t="shared" si="8"/>
        <v>195519.41702100003</v>
      </c>
      <c r="I31" s="115">
        <f t="shared" si="8"/>
        <v>217851.12492825006</v>
      </c>
      <c r="J31" s="115">
        <f>J28+J30</f>
        <v>242867.56772907707</v>
      </c>
    </row>
    <row r="32" spans="1:10">
      <c r="A32" t="s">
        <v>629</v>
      </c>
      <c r="B32" s="192">
        <f>B31/B14</f>
        <v>0.32866979938056462</v>
      </c>
      <c r="C32" s="192">
        <f t="shared" ref="C32:I32" si="9">C31/C14</f>
        <v>0.3310467428130896</v>
      </c>
      <c r="D32" s="192">
        <f t="shared" si="9"/>
        <v>0.32826747720364741</v>
      </c>
      <c r="E32" s="192">
        <f t="shared" si="9"/>
        <v>0.34437070850435381</v>
      </c>
      <c r="F32" s="192">
        <f t="shared" si="9"/>
        <v>0.34781731108873731</v>
      </c>
      <c r="G32" s="193">
        <f t="shared" si="9"/>
        <v>0.38993071560450016</v>
      </c>
      <c r="H32" s="193">
        <f t="shared" si="9"/>
        <v>0.40093246428408907</v>
      </c>
      <c r="I32" s="193">
        <f t="shared" si="9"/>
        <v>0.41201333409532181</v>
      </c>
      <c r="J32" s="193">
        <f>J31/J14</f>
        <v>0.42316196010850737</v>
      </c>
    </row>
    <row r="33" spans="1:10" ht="18" customHeight="1">
      <c r="A33" s="331" t="s">
        <v>310</v>
      </c>
      <c r="B33" s="331"/>
      <c r="C33" s="331"/>
      <c r="D33" s="331"/>
      <c r="E33" s="331"/>
      <c r="F33" s="331"/>
      <c r="G33" s="331"/>
      <c r="H33" s="331"/>
      <c r="I33" s="331"/>
      <c r="J33" s="331"/>
    </row>
    <row r="34" spans="1:10" ht="15" customHeight="1">
      <c r="A34" s="103" t="s">
        <v>311</v>
      </c>
      <c r="B34" s="108">
        <v>258</v>
      </c>
      <c r="C34" s="108">
        <v>-334</v>
      </c>
      <c r="D34" s="108">
        <v>-565</v>
      </c>
      <c r="E34" s="108">
        <v>269</v>
      </c>
      <c r="F34" s="108">
        <v>-321</v>
      </c>
      <c r="G34" s="109">
        <f>Assumptions!G24</f>
        <v>500</v>
      </c>
      <c r="H34" s="109">
        <f>Assumptions!H24</f>
        <v>500</v>
      </c>
      <c r="I34" s="109">
        <f>Assumptions!I24</f>
        <v>500</v>
      </c>
      <c r="J34" s="109">
        <f>Assumptions!J24</f>
        <v>500</v>
      </c>
    </row>
    <row r="35" spans="1:10" ht="15" customHeight="1">
      <c r="A35" s="110" t="s">
        <v>70</v>
      </c>
      <c r="B35" s="111">
        <f>B28+B34</f>
        <v>109207</v>
      </c>
      <c r="C35" s="111">
        <f t="shared" ref="C35:I35" si="10">C28+C34</f>
        <v>119103</v>
      </c>
      <c r="D35" s="111">
        <f t="shared" si="10"/>
        <v>113736</v>
      </c>
      <c r="E35" s="111">
        <f t="shared" si="10"/>
        <v>123485</v>
      </c>
      <c r="F35" s="111">
        <f t="shared" si="10"/>
        <v>132729</v>
      </c>
      <c r="G35" s="112">
        <f t="shared" si="10"/>
        <v>164812.69315000001</v>
      </c>
      <c r="H35" s="112">
        <f t="shared" si="10"/>
        <v>183827.87390350003</v>
      </c>
      <c r="I35" s="112">
        <f t="shared" si="10"/>
        <v>205132.43108387507</v>
      </c>
      <c r="J35" s="112">
        <f>J28+J34</f>
        <v>229019.18633943133</v>
      </c>
    </row>
    <row r="36" spans="1:10" ht="15" customHeight="1">
      <c r="A36" s="103" t="s">
        <v>71</v>
      </c>
      <c r="B36" s="108">
        <v>14527</v>
      </c>
      <c r="C36" s="108">
        <v>19300</v>
      </c>
      <c r="D36" s="108">
        <v>16741</v>
      </c>
      <c r="E36" s="108">
        <v>29749</v>
      </c>
      <c r="F36" s="108">
        <v>20719</v>
      </c>
      <c r="G36" s="109">
        <f>G35*Assumptions!G25</f>
        <v>21425.650109500002</v>
      </c>
      <c r="H36" s="109">
        <f>H35*Assumptions!H25</f>
        <v>23897.623607455003</v>
      </c>
      <c r="I36" s="109">
        <f>I35*Assumptions!I25</f>
        <v>26667.216040903761</v>
      </c>
      <c r="J36" s="109">
        <f>J35*Assumptions!J25</f>
        <v>29772.494224126072</v>
      </c>
    </row>
    <row r="37" spans="1:10" ht="15" customHeight="1">
      <c r="A37" s="113" t="s">
        <v>312</v>
      </c>
      <c r="B37" s="192">
        <f>B36/B35</f>
        <v>0.13302260844085087</v>
      </c>
      <c r="C37" s="192">
        <f t="shared" ref="C37:I37" si="11">C36/C35</f>
        <v>0.16204461684424407</v>
      </c>
      <c r="D37" s="192">
        <f t="shared" si="11"/>
        <v>0.14719174228036858</v>
      </c>
      <c r="E37" s="192">
        <f t="shared" si="11"/>
        <v>0.24091185164189982</v>
      </c>
      <c r="F37" s="192">
        <f t="shared" si="11"/>
        <v>0.15610002335586043</v>
      </c>
      <c r="G37" s="193">
        <f t="shared" si="11"/>
        <v>0.13</v>
      </c>
      <c r="H37" s="193">
        <f t="shared" si="11"/>
        <v>0.13</v>
      </c>
      <c r="I37" s="193">
        <f t="shared" si="11"/>
        <v>0.13</v>
      </c>
      <c r="J37" s="242">
        <f>J36/J35</f>
        <v>0.13</v>
      </c>
    </row>
    <row r="38" spans="1:10" ht="15" customHeight="1" thickBot="1">
      <c r="A38" s="87" t="s">
        <v>5</v>
      </c>
      <c r="B38" s="117">
        <f>B35-B36</f>
        <v>94680</v>
      </c>
      <c r="C38" s="117">
        <f t="shared" ref="C38:I38" si="12">C35-C36</f>
        <v>99803</v>
      </c>
      <c r="D38" s="117">
        <f t="shared" si="12"/>
        <v>96995</v>
      </c>
      <c r="E38" s="117">
        <f t="shared" si="12"/>
        <v>93736</v>
      </c>
      <c r="F38" s="117">
        <f t="shared" si="12"/>
        <v>112010</v>
      </c>
      <c r="G38" s="118">
        <f t="shared" si="12"/>
        <v>143387.04304049999</v>
      </c>
      <c r="H38" s="118">
        <f t="shared" si="12"/>
        <v>159930.25029604504</v>
      </c>
      <c r="I38" s="118">
        <f t="shared" si="12"/>
        <v>178465.21504297131</v>
      </c>
      <c r="J38" s="118">
        <f>J35-J36</f>
        <v>199246.69211530525</v>
      </c>
    </row>
    <row r="39" spans="1:10" ht="15" customHeight="1" thickTop="1">
      <c r="A39" s="113" t="s">
        <v>313</v>
      </c>
      <c r="B39" s="192">
        <f t="shared" ref="B39:I39" si="13">B38/B14</f>
        <v>0.25881793355694238</v>
      </c>
      <c r="C39" s="192">
        <f t="shared" si="13"/>
        <v>0.25309640705199732</v>
      </c>
      <c r="D39" s="192">
        <f t="shared" si="13"/>
        <v>0.25306234264320282</v>
      </c>
      <c r="E39" s="192">
        <f t="shared" si="13"/>
        <v>0.23971255769943867</v>
      </c>
      <c r="F39" s="192">
        <f t="shared" si="13"/>
        <v>0.26915064121818238</v>
      </c>
      <c r="G39" s="193">
        <f t="shared" si="13"/>
        <v>0.31845583699011343</v>
      </c>
      <c r="H39" s="193">
        <f t="shared" si="13"/>
        <v>0.32795325570082623</v>
      </c>
      <c r="I39" s="193">
        <f t="shared" si="13"/>
        <v>0.33752429919336213</v>
      </c>
      <c r="J39" s="242">
        <f>J38/J14</f>
        <v>0.34715883050594115</v>
      </c>
    </row>
    <row r="40" spans="1:10" ht="15" customHeight="1">
      <c r="A40" s="113"/>
      <c r="B40" s="192"/>
      <c r="C40" s="192"/>
      <c r="D40" s="192"/>
      <c r="E40" s="192"/>
      <c r="F40" s="192"/>
      <c r="G40" s="193"/>
      <c r="H40" s="193"/>
      <c r="I40" s="193"/>
      <c r="J40" s="193"/>
    </row>
    <row r="41" spans="1:10" ht="15" customHeight="1">
      <c r="A41" s="331" t="s">
        <v>630</v>
      </c>
      <c r="B41" s="331"/>
      <c r="C41" s="331"/>
      <c r="D41" s="331"/>
      <c r="E41" s="331"/>
      <c r="F41" s="331"/>
      <c r="G41" s="331"/>
      <c r="H41" s="331"/>
      <c r="I41" s="331"/>
      <c r="J41" s="331"/>
    </row>
    <row r="42" spans="1:10" ht="14" customHeight="1">
      <c r="A42" t="s">
        <v>631</v>
      </c>
      <c r="B42" s="275">
        <v>5.67</v>
      </c>
      <c r="C42" s="275">
        <v>6.15</v>
      </c>
      <c r="D42" s="275">
        <v>6.16</v>
      </c>
      <c r="E42" s="275">
        <v>6.11</v>
      </c>
      <c r="F42" s="275">
        <v>7.5</v>
      </c>
      <c r="G42" s="276">
        <f>G38/G44</f>
        <v>9.93580428651034</v>
      </c>
      <c r="H42" s="276">
        <f>H38/H44</f>
        <v>11.585546147006289</v>
      </c>
      <c r="I42" s="276">
        <f>I38/I44</f>
        <v>13.701319632495689</v>
      </c>
      <c r="J42" s="276">
        <f>J38/J44</f>
        <v>16.436705494111337</v>
      </c>
    </row>
    <row r="43" spans="1:10" ht="15" customHeight="1">
      <c r="A43" s="87" t="s">
        <v>191</v>
      </c>
      <c r="B43" s="277">
        <v>5.61</v>
      </c>
      <c r="C43" s="277">
        <v>6.11</v>
      </c>
      <c r="D43" s="277">
        <v>6.13</v>
      </c>
      <c r="E43" s="277">
        <v>6.08</v>
      </c>
      <c r="F43" s="277">
        <v>7.46</v>
      </c>
      <c r="G43" s="278">
        <f>G38/G44</f>
        <v>9.93580428651034</v>
      </c>
      <c r="H43" s="278">
        <f>H38/H44</f>
        <v>11.585546147006289</v>
      </c>
      <c r="I43" s="278">
        <f>I38/I44</f>
        <v>13.701319632495689</v>
      </c>
      <c r="J43" s="278">
        <f>J38/J44</f>
        <v>16.436705494111337</v>
      </c>
    </row>
    <row r="44" spans="1:10">
      <c r="A44" t="s">
        <v>273</v>
      </c>
      <c r="B44" s="367">
        <v>16864</v>
      </c>
      <c r="C44" s="367">
        <v>16326</v>
      </c>
      <c r="D44" s="367">
        <v>15813</v>
      </c>
      <c r="E44" s="367">
        <v>15409</v>
      </c>
      <c r="F44" s="367">
        <v>15004</v>
      </c>
      <c r="G44" s="368">
        <f>F44+CFS!G25/Assumptions!$B$59</f>
        <v>14431.347368141496</v>
      </c>
      <c r="H44" s="369">
        <f>G44+CFS!H25/Assumptions!$B$59</f>
        <v>13804.29099040541</v>
      </c>
      <c r="I44" s="369">
        <f>H44+CFS!I25/Assumptions!$B$59</f>
        <v>13025.403379372439</v>
      </c>
      <c r="J44" s="369">
        <f>I44+CFS!J25/Assumptions!$B$59</f>
        <v>12122.057682829931</v>
      </c>
    </row>
    <row r="45" spans="1:10" ht="15" customHeight="1">
      <c r="A45" s="7" t="s">
        <v>632</v>
      </c>
      <c r="B45" s="275">
        <v>0.85</v>
      </c>
      <c r="C45" s="275">
        <v>0.91</v>
      </c>
      <c r="D45" s="275">
        <v>0.95</v>
      </c>
      <c r="E45" s="275">
        <v>0.99</v>
      </c>
      <c r="F45" s="275">
        <v>1.06</v>
      </c>
      <c r="G45" s="279">
        <f>-CFS!G24/G44</f>
        <v>1.2580732022640746</v>
      </c>
      <c r="H45" s="279">
        <f>-CFS!H24/H44</f>
        <v>1.4401708457402251</v>
      </c>
      <c r="I45" s="279">
        <f>-CFS!I24/I44</f>
        <v>1.8958551185511869</v>
      </c>
      <c r="J45" s="279">
        <f>-CFS!J24/J44</f>
        <v>2.3626487718967741</v>
      </c>
    </row>
    <row r="48" spans="1:10">
      <c r="B48" s="179"/>
      <c r="C48" s="179"/>
      <c r="D48" s="179"/>
      <c r="E48" s="179"/>
      <c r="F48" s="179"/>
      <c r="G48" s="184"/>
      <c r="H48" s="184"/>
      <c r="I48" s="184"/>
      <c r="J48" s="184"/>
    </row>
    <row r="49" spans="1:12">
      <c r="B49" s="179"/>
      <c r="C49" s="179"/>
      <c r="D49" s="179"/>
      <c r="E49" s="179"/>
      <c r="F49" s="179"/>
      <c r="G49" s="184"/>
      <c r="H49" s="184"/>
      <c r="I49" s="184"/>
      <c r="J49" s="184"/>
    </row>
    <row r="50" spans="1:12">
      <c r="A50" s="175" t="s">
        <v>610</v>
      </c>
      <c r="B50" s="47"/>
      <c r="C50" s="47"/>
      <c r="D50" s="47"/>
      <c r="E50" s="47"/>
      <c r="F50" s="47"/>
      <c r="G50" s="47"/>
      <c r="H50" s="47"/>
      <c r="I50" s="47"/>
      <c r="J50" s="47"/>
      <c r="L50" s="272" t="s">
        <v>608</v>
      </c>
    </row>
    <row r="51" spans="1:12">
      <c r="B51" s="179"/>
      <c r="C51" s="179"/>
      <c r="D51" s="179"/>
      <c r="E51" s="179"/>
      <c r="F51" s="179"/>
      <c r="G51" s="184"/>
      <c r="H51" s="184"/>
      <c r="I51" s="184"/>
      <c r="J51" s="184"/>
    </row>
    <row r="52" spans="1:12">
      <c r="A52" s="176" t="s">
        <v>532</v>
      </c>
      <c r="B52" s="180">
        <v>153306</v>
      </c>
      <c r="C52" s="180">
        <v>169658</v>
      </c>
      <c r="D52" s="180">
        <v>162560</v>
      </c>
      <c r="E52" s="180">
        <v>167045</v>
      </c>
      <c r="F52" s="180">
        <v>178353</v>
      </c>
      <c r="G52" s="185">
        <f>$F52*(1+$L52)*IS!G$14/($F52*(1+$L52)+$F53*(1+$L53)+$F54*(1+$L54)+$F55*(1+$L55)+$F56*(1+$L56))</f>
        <v>193670.51104449236</v>
      </c>
      <c r="H52" s="185">
        <f>G52*(1+$L52)*IS!H$14/(G52*(1+$L52)+G53*(1+$L53)+G54*(1+$L54)+G55*(1+$L55)+G56*(1+$L56))</f>
        <v>210383.53168072485</v>
      </c>
      <c r="I52" s="185">
        <f>H52*(1+$L52)*IS!I$14/(H52*(1+$L52)+H53*(1+$L53)+H54*(1+$L54)+H55*(1+$L55)+H56*(1+$L56))</f>
        <v>228639.63238857733</v>
      </c>
      <c r="J52" s="185">
        <f>I52*(1+$L52)*IS!J$14/(I52*(1+$L52)+I53*(1+$L53)+I54*(1+$L54)+I55*(1+$L55)+I56*(1+$L56))</f>
        <v>248604.07018725938</v>
      </c>
      <c r="K52" s="222"/>
      <c r="L52" s="273">
        <v>4.4999999999999998E-2</v>
      </c>
    </row>
    <row r="53" spans="1:12">
      <c r="A53" s="176" t="s">
        <v>533</v>
      </c>
      <c r="B53" s="180">
        <v>89307</v>
      </c>
      <c r="C53" s="180">
        <v>95118</v>
      </c>
      <c r="D53" s="180">
        <v>94294</v>
      </c>
      <c r="E53" s="180">
        <v>101328</v>
      </c>
      <c r="F53" s="180">
        <v>111032</v>
      </c>
      <c r="G53" s="185">
        <f>$F53*(1+$L53)*IS!G$14/($F52*(1+$L52)+$F53*(1+$L53)+$F54*(1+$L54)+$F55*(1+$L55)+$F56*(1+$L56))</f>
        <v>122298.41182508205</v>
      </c>
      <c r="H53" s="185">
        <f>G53*(1+$L53)*IS!H$14/(G52*(1+$L52)+G53*(1+$L53)+G54*(1+$L54)+G55*(1+$L55)+G56*(1+$L56))</f>
        <v>134759.26538872675</v>
      </c>
      <c r="I53" s="185">
        <f>H53*(1+$L53)*IS!I$14/(H52*(1+$L52)+H53*(1+$L53)+H54*(1+$L54)+H55*(1+$L55)+H56*(1+$L56))</f>
        <v>148555.24214091583</v>
      </c>
      <c r="J53" s="185">
        <f>I53*(1+$L53)*IS!J$14/(I52*(1+$L52)+I53*(1+$L53)+I54*(1+$L54)+I55*(1+$L55)+I56*(1+$L56))</f>
        <v>163845.40941225056</v>
      </c>
      <c r="K53" s="222"/>
      <c r="L53" s="273">
        <v>0.06</v>
      </c>
    </row>
    <row r="54" spans="1:12">
      <c r="A54" s="176" t="s">
        <v>534</v>
      </c>
      <c r="B54" s="180">
        <v>68366</v>
      </c>
      <c r="C54" s="180">
        <v>74200</v>
      </c>
      <c r="D54" s="180">
        <v>72559</v>
      </c>
      <c r="E54" s="180">
        <v>66952</v>
      </c>
      <c r="F54" s="180">
        <v>64377</v>
      </c>
      <c r="G54" s="185">
        <f>$F54*(1+$L54)*IS!G$14/($F52*(1+$L52)+$F53*(1+$L53)+$F54*(1+$L54)+$F55*(1+$L55)+$F56*(1+$L56))</f>
        <v>65557.683531163202</v>
      </c>
      <c r="H54" s="185">
        <f>G54*(1+$L54)*IS!H$14/(G52*(1+$L52)+G53*(1+$L53)+G54*(1+$L54)+G55*(1+$L55)+G56*(1+$L56))</f>
        <v>66785.41476046454</v>
      </c>
      <c r="I54" s="185">
        <f>H54*(1+$L54)*IS!I$14/(H52*(1+$L52)+H53*(1+$L53)+H54*(1+$L54)+H55*(1+$L55)+H56*(1+$L56))</f>
        <v>68066.149704915035</v>
      </c>
      <c r="J54" s="185">
        <f>I54*(1+$L54)*IS!J$14/(I52*(1+$L52)+I53*(1+$L53)+I54*(1+$L54)+I55*(1+$L55)+I56*(1+$L56))</f>
        <v>69406.107945440061</v>
      </c>
      <c r="K54" s="222"/>
      <c r="L54" s="273">
        <v>-0.02</v>
      </c>
    </row>
    <row r="55" spans="1:12">
      <c r="A55" s="176" t="s">
        <v>535</v>
      </c>
      <c r="B55" s="180">
        <v>28482</v>
      </c>
      <c r="C55" s="180">
        <v>25977</v>
      </c>
      <c r="D55" s="180">
        <v>24257</v>
      </c>
      <c r="E55" s="180">
        <v>25052</v>
      </c>
      <c r="F55" s="180">
        <v>28703</v>
      </c>
      <c r="G55" s="185">
        <f>$F55*(1+$L55)*IS!G$14/($F52*(1+$L52)+$F53*(1+$L53)+$F54*(1+$L54)+$F55*(1+$L55)+$F56*(1+$L56))</f>
        <v>31615.492061886031</v>
      </c>
      <c r="H55" s="185">
        <f>G55*(1+$L55)*IS!H$14/(G52*(1+$L52)+G53*(1+$L53)+G54*(1+$L54)+G55*(1+$L55)+G56*(1+$L56))</f>
        <v>34836.760523566387</v>
      </c>
      <c r="I55" s="185">
        <f>H55*(1+$L55)*IS!I$14/(H52*(1+$L52)+H53*(1+$L53)+H54*(1+$L54)+H55*(1+$L55)+H56*(1+$L56))</f>
        <v>38403.173095780548</v>
      </c>
      <c r="J55" s="185">
        <f>I55*(1+$L55)*IS!J$14/(I52*(1+$L52)+I53*(1+$L53)+I54*(1+$L54)+I55*(1+$L55)+I56*(1+$L56))</f>
        <v>42355.850442753668</v>
      </c>
      <c r="K55" s="222"/>
      <c r="L55" s="273">
        <v>0.06</v>
      </c>
    </row>
    <row r="56" spans="1:12">
      <c r="A56" s="176" t="s">
        <v>611</v>
      </c>
      <c r="B56" s="180">
        <v>26356</v>
      </c>
      <c r="C56" s="180">
        <v>29375</v>
      </c>
      <c r="D56" s="180">
        <v>29615</v>
      </c>
      <c r="E56" s="180">
        <v>30658</v>
      </c>
      <c r="F56" s="180">
        <v>33696</v>
      </c>
      <c r="G56" s="185">
        <f>$F56*(1+$L56)*IS!G$14/($F52*(1+$L52)+$F53*(1+$L53)+$F54*(1+$L54)+$F55*(1+$L55)+$F56*(1+$L56))</f>
        <v>37115.131537376292</v>
      </c>
      <c r="H56" s="185">
        <f>G56*(1+$L56)*IS!H$14/(G52*(1+$L52)+G53*(1+$L53)+G54*(1+$L54)+G55*(1+$L55)+G56*(1+$L56))</f>
        <v>40896.752346517533</v>
      </c>
      <c r="I56" s="185">
        <f>H56*(1+$L56)*IS!I$14/(H52*(1+$L52)+H53*(1+$L53)+H54*(1+$L54)+H55*(1+$L55)+H56*(1+$L56))</f>
        <v>45083.55644481138</v>
      </c>
      <c r="J56" s="185">
        <f>I56*(1+$L56)*IS!J$14/(I52*(1+$L52)+I53*(1+$L53)+I54*(1+$L54)+I55*(1+$L55)+I56*(1+$L56))</f>
        <v>49723.817598126589</v>
      </c>
      <c r="K56" s="222"/>
      <c r="L56" s="273">
        <v>0.06</v>
      </c>
    </row>
    <row r="57" spans="1:12">
      <c r="A57" s="177" t="s">
        <v>42</v>
      </c>
      <c r="B57" s="181">
        <f t="shared" ref="B57:F57" si="14">SUM(B52:B56)</f>
        <v>365817</v>
      </c>
      <c r="C57" s="181">
        <f t="shared" si="14"/>
        <v>394328</v>
      </c>
      <c r="D57" s="181">
        <f t="shared" si="14"/>
        <v>383285</v>
      </c>
      <c r="E57" s="181">
        <f t="shared" si="14"/>
        <v>391035</v>
      </c>
      <c r="F57" s="181">
        <f t="shared" si="14"/>
        <v>416161</v>
      </c>
      <c r="G57" s="186">
        <f>SUM(G52:G56)</f>
        <v>450257.22999999986</v>
      </c>
      <c r="H57" s="186">
        <f>SUM(H52:H56)</f>
        <v>487661.72470000002</v>
      </c>
      <c r="I57" s="186">
        <f>SUM(I52:I56)</f>
        <v>528747.75377500011</v>
      </c>
      <c r="J57" s="186">
        <f>SUM(J52:J56)</f>
        <v>573935.25558583031</v>
      </c>
      <c r="K57" s="222"/>
    </row>
    <row r="58" spans="1:12" s="205" customFormat="1">
      <c r="A58" s="201" t="s">
        <v>607</v>
      </c>
      <c r="B58" s="202">
        <f t="shared" ref="B58:J58" si="15">B57-B14</f>
        <v>0</v>
      </c>
      <c r="C58" s="202">
        <f t="shared" si="15"/>
        <v>0</v>
      </c>
      <c r="D58" s="202">
        <f t="shared" si="15"/>
        <v>0</v>
      </c>
      <c r="E58" s="202">
        <f t="shared" si="15"/>
        <v>0</v>
      </c>
      <c r="F58" s="202">
        <f t="shared" si="15"/>
        <v>0</v>
      </c>
      <c r="G58" s="203">
        <f t="shared" si="15"/>
        <v>0</v>
      </c>
      <c r="H58" s="203">
        <f t="shared" si="15"/>
        <v>0</v>
      </c>
      <c r="I58" s="203">
        <f t="shared" si="15"/>
        <v>0</v>
      </c>
      <c r="J58" s="274">
        <f t="shared" si="15"/>
        <v>0</v>
      </c>
      <c r="K58" s="243"/>
    </row>
    <row r="59" spans="1:12" s="205" customFormat="1">
      <c r="B59" s="206"/>
      <c r="C59" s="206"/>
      <c r="D59" s="206"/>
      <c r="E59" s="206"/>
      <c r="F59" s="206"/>
      <c r="G59" s="204"/>
      <c r="H59" s="204"/>
      <c r="I59" s="204"/>
      <c r="J59" s="204"/>
    </row>
    <row r="60" spans="1:12" s="205" customFormat="1">
      <c r="A60" s="201" t="s">
        <v>609</v>
      </c>
      <c r="B60" s="206"/>
      <c r="C60" s="206"/>
      <c r="D60" s="206"/>
      <c r="E60" s="206"/>
      <c r="F60" s="206"/>
      <c r="G60" s="204"/>
      <c r="H60" s="204"/>
      <c r="I60" s="204"/>
      <c r="J60" s="204"/>
    </row>
    <row r="61" spans="1:12" s="205" customFormat="1">
      <c r="A61" s="207" t="s">
        <v>612</v>
      </c>
      <c r="B61" s="208">
        <f>B52/B57</f>
        <v>0.41907839165484384</v>
      </c>
      <c r="C61" s="208">
        <f t="shared" ref="C61:I61" si="16">C52/C57</f>
        <v>0.43024588667302349</v>
      </c>
      <c r="D61" s="208">
        <f t="shared" si="16"/>
        <v>0.42412304160089748</v>
      </c>
      <c r="E61" s="208">
        <f t="shared" si="16"/>
        <v>0.42718682470878566</v>
      </c>
      <c r="F61" s="208">
        <f t="shared" si="16"/>
        <v>0.42856730928655018</v>
      </c>
      <c r="G61" s="209">
        <f t="shared" si="16"/>
        <v>0.43013303982812762</v>
      </c>
      <c r="H61" s="209">
        <f t="shared" si="16"/>
        <v>0.4314128442418742</v>
      </c>
      <c r="I61" s="209">
        <f t="shared" si="16"/>
        <v>0.43241721738996014</v>
      </c>
      <c r="J61" s="209">
        <f t="shared" ref="J61" si="17">J52/J57</f>
        <v>0.43315699422141768</v>
      </c>
    </row>
    <row r="62" spans="1:12" s="205" customFormat="1">
      <c r="A62" s="207" t="s">
        <v>613</v>
      </c>
      <c r="B62" s="208">
        <f>B53/B57</f>
        <v>0.2441302618522376</v>
      </c>
      <c r="C62" s="208">
        <f t="shared" ref="C62:I62" si="18">C53/C57</f>
        <v>0.24121543486640562</v>
      </c>
      <c r="D62" s="208">
        <f t="shared" si="18"/>
        <v>0.24601536715498912</v>
      </c>
      <c r="E62" s="208">
        <f t="shared" si="18"/>
        <v>0.25912769956653497</v>
      </c>
      <c r="F62" s="208">
        <f t="shared" si="18"/>
        <v>0.26680058919504712</v>
      </c>
      <c r="G62" s="209">
        <f t="shared" si="18"/>
        <v>0.27161898505234905</v>
      </c>
      <c r="H62" s="209">
        <f t="shared" si="18"/>
        <v>0.2763375892820541</v>
      </c>
      <c r="I62" s="209">
        <f t="shared" si="18"/>
        <v>0.28095673424672563</v>
      </c>
      <c r="J62" s="209">
        <f t="shared" ref="J62" si="19">J53/J57</f>
        <v>0.28547716457148009</v>
      </c>
    </row>
    <row r="63" spans="1:12" s="205" customFormat="1">
      <c r="A63" s="207" t="s">
        <v>614</v>
      </c>
      <c r="B63" s="208">
        <f t="shared" ref="B63:I63" si="20">B54/B57</f>
        <v>0.18688579262308749</v>
      </c>
      <c r="C63" s="208">
        <f t="shared" si="20"/>
        <v>0.18816822543669229</v>
      </c>
      <c r="D63" s="208">
        <f t="shared" si="20"/>
        <v>0.18930821712302856</v>
      </c>
      <c r="E63" s="208">
        <f t="shared" si="20"/>
        <v>0.17121741020624753</v>
      </c>
      <c r="F63" s="208">
        <f t="shared" si="20"/>
        <v>0.15469253486030646</v>
      </c>
      <c r="G63" s="209">
        <f t="shared" si="20"/>
        <v>0.14560051269174118</v>
      </c>
      <c r="H63" s="209">
        <f t="shared" si="20"/>
        <v>0.13695029028892849</v>
      </c>
      <c r="I63" s="209">
        <f t="shared" si="20"/>
        <v>0.12873085364232009</v>
      </c>
      <c r="J63" s="209">
        <f t="shared" ref="J63" si="21">J54/J57</f>
        <v>0.12093020470505071</v>
      </c>
    </row>
    <row r="64" spans="1:12" s="205" customFormat="1">
      <c r="A64" s="207" t="s">
        <v>615</v>
      </c>
      <c r="B64" s="208">
        <f t="shared" ref="B64:I64" si="22">B55/B57</f>
        <v>7.7858601431863475E-2</v>
      </c>
      <c r="C64" s="208">
        <f t="shared" si="22"/>
        <v>6.5876630622223126E-2</v>
      </c>
      <c r="D64" s="208">
        <f t="shared" si="22"/>
        <v>6.3287110113883924E-2</v>
      </c>
      <c r="E64" s="208">
        <f t="shared" si="22"/>
        <v>6.4065876456071702E-2</v>
      </c>
      <c r="F64" s="208">
        <f t="shared" si="22"/>
        <v>6.8970903087987576E-2</v>
      </c>
      <c r="G64" s="209">
        <f t="shared" si="22"/>
        <v>7.0216511707954232E-2</v>
      </c>
      <c r="H64" s="209">
        <f t="shared" si="22"/>
        <v>7.1436323088504186E-2</v>
      </c>
      <c r="I64" s="209">
        <f t="shared" si="22"/>
        <v>7.2630423149035991E-2</v>
      </c>
      <c r="J64" s="209">
        <f t="shared" ref="J64" si="23">J55/J57</f>
        <v>7.3799004383377664E-2</v>
      </c>
    </row>
    <row r="65" spans="1:10" s="205" customFormat="1">
      <c r="A65" s="207" t="s">
        <v>616</v>
      </c>
      <c r="B65" s="208">
        <f t="shared" ref="B65:I65" si="24">B56/B57</f>
        <v>7.2046952437967618E-2</v>
      </c>
      <c r="C65" s="208">
        <f t="shared" si="24"/>
        <v>7.4493822401655474E-2</v>
      </c>
      <c r="D65" s="208">
        <f t="shared" si="24"/>
        <v>7.7266264007200908E-2</v>
      </c>
      <c r="E65" s="208">
        <f t="shared" si="24"/>
        <v>7.8402189062360142E-2</v>
      </c>
      <c r="F65" s="208">
        <f t="shared" si="24"/>
        <v>8.0968663570108679E-2</v>
      </c>
      <c r="G65" s="209">
        <f t="shared" si="24"/>
        <v>8.2430950719828089E-2</v>
      </c>
      <c r="H65" s="209">
        <f t="shared" si="24"/>
        <v>8.3862953098639059E-2</v>
      </c>
      <c r="I65" s="209">
        <f t="shared" si="24"/>
        <v>8.5264771571958192E-2</v>
      </c>
      <c r="J65" s="209">
        <f t="shared" ref="J65" si="25">J56/J57</f>
        <v>8.663663211867377E-2</v>
      </c>
    </row>
    <row r="66" spans="1:10" s="205" customFormat="1">
      <c r="B66" s="206"/>
      <c r="C66" s="206"/>
      <c r="D66" s="206"/>
      <c r="E66" s="206"/>
      <c r="F66" s="206"/>
      <c r="G66" s="204"/>
      <c r="H66" s="204"/>
      <c r="I66" s="204"/>
      <c r="J66" s="204"/>
    </row>
    <row r="67" spans="1:10" s="205" customFormat="1">
      <c r="A67" s="201" t="s">
        <v>686</v>
      </c>
      <c r="B67" s="206"/>
      <c r="C67" s="206"/>
      <c r="D67" s="206"/>
      <c r="E67" s="206"/>
      <c r="F67" s="206"/>
      <c r="G67" s="204"/>
      <c r="H67" s="204"/>
      <c r="I67" s="204"/>
      <c r="J67" s="204"/>
    </row>
    <row r="68" spans="1:10" s="205" customFormat="1">
      <c r="A68" s="207" t="s">
        <v>612</v>
      </c>
      <c r="B68" s="206"/>
      <c r="C68" s="210">
        <f>C52/B52-1</f>
        <v>0.10666249200944522</v>
      </c>
      <c r="D68" s="210">
        <f t="shared" ref="C68:I72" si="26">D52/C52-1</f>
        <v>-4.1837107592922251E-2</v>
      </c>
      <c r="E68" s="210">
        <f t="shared" si="26"/>
        <v>2.7589812992125928E-2</v>
      </c>
      <c r="F68" s="210">
        <f t="shared" si="26"/>
        <v>6.7694333862132972E-2</v>
      </c>
      <c r="G68" s="211">
        <f t="shared" si="26"/>
        <v>8.5883114074292832E-2</v>
      </c>
      <c r="H68" s="211">
        <f t="shared" si="26"/>
        <v>8.6296156013100811E-2</v>
      </c>
      <c r="I68" s="211">
        <f t="shared" si="26"/>
        <v>8.6775331519568288E-2</v>
      </c>
      <c r="J68" s="211">
        <f t="shared" ref="J68" si="27">J52/I52-1</f>
        <v>8.7318360295262076E-2</v>
      </c>
    </row>
    <row r="69" spans="1:10" s="205" customFormat="1">
      <c r="A69" s="207" t="s">
        <v>613</v>
      </c>
      <c r="B69" s="206"/>
      <c r="C69" s="210">
        <f t="shared" si="26"/>
        <v>6.5067687863213486E-2</v>
      </c>
      <c r="D69" s="210">
        <f t="shared" si="26"/>
        <v>-8.662923947097334E-3</v>
      </c>
      <c r="E69" s="210">
        <f t="shared" si="26"/>
        <v>7.4596474855239903E-2</v>
      </c>
      <c r="F69" s="210">
        <f t="shared" si="26"/>
        <v>9.5768198326227738E-2</v>
      </c>
      <c r="G69" s="211">
        <f t="shared" si="26"/>
        <v>0.10146995303229733</v>
      </c>
      <c r="H69" s="211">
        <f t="shared" si="26"/>
        <v>0.10188892380276293</v>
      </c>
      <c r="I69" s="211">
        <f t="shared" si="26"/>
        <v>0.10237497742654789</v>
      </c>
      <c r="J69" s="211">
        <f t="shared" ref="J69" si="28">J53/I53-1</f>
        <v>0.10292580087366332</v>
      </c>
    </row>
    <row r="70" spans="1:10" s="205" customFormat="1">
      <c r="A70" s="207" t="s">
        <v>614</v>
      </c>
      <c r="B70" s="206"/>
      <c r="C70" s="210">
        <f t="shared" si="26"/>
        <v>8.533481555159006E-2</v>
      </c>
      <c r="D70" s="210">
        <f t="shared" si="26"/>
        <v>-2.2115902964959577E-2</v>
      </c>
      <c r="E70" s="210">
        <f t="shared" si="26"/>
        <v>-7.7275045135682729E-2</v>
      </c>
      <c r="F70" s="210">
        <f t="shared" si="26"/>
        <v>-3.8460389532799621E-2</v>
      </c>
      <c r="G70" s="211">
        <f t="shared" si="26"/>
        <v>1.8340145256274809E-2</v>
      </c>
      <c r="H70" s="211">
        <f t="shared" si="26"/>
        <v>1.8727495591233545E-2</v>
      </c>
      <c r="I70" s="211">
        <f t="shared" si="26"/>
        <v>1.9176865922657438E-2</v>
      </c>
      <c r="J70" s="211">
        <f t="shared" ref="J70" si="29">J54/I54-1</f>
        <v>1.9686117788858315E-2</v>
      </c>
    </row>
    <row r="71" spans="1:10" s="205" customFormat="1">
      <c r="A71" s="207" t="s">
        <v>615</v>
      </c>
      <c r="B71" s="206"/>
      <c r="C71" s="210">
        <f t="shared" si="26"/>
        <v>-8.7950284390141187E-2</v>
      </c>
      <c r="D71" s="210">
        <f t="shared" si="26"/>
        <v>-6.621241867806138E-2</v>
      </c>
      <c r="E71" s="210">
        <f t="shared" si="26"/>
        <v>3.2774044605680785E-2</v>
      </c>
      <c r="F71" s="210">
        <f t="shared" si="26"/>
        <v>0.14573686731598268</v>
      </c>
      <c r="G71" s="211">
        <f t="shared" si="26"/>
        <v>0.10146995303229733</v>
      </c>
      <c r="H71" s="211">
        <f t="shared" si="26"/>
        <v>0.10188892380276271</v>
      </c>
      <c r="I71" s="211">
        <f t="shared" si="26"/>
        <v>0.10237497742654789</v>
      </c>
      <c r="J71" s="211">
        <f t="shared" ref="J71" si="30">J55/I55-1</f>
        <v>0.10292580087366288</v>
      </c>
    </row>
    <row r="72" spans="1:10" s="205" customFormat="1">
      <c r="A72" s="207" t="s">
        <v>616</v>
      </c>
      <c r="B72" s="206"/>
      <c r="C72" s="210">
        <f t="shared" si="26"/>
        <v>0.11454697222643806</v>
      </c>
      <c r="D72" s="210">
        <f t="shared" si="26"/>
        <v>8.1702127659575297E-3</v>
      </c>
      <c r="E72" s="210">
        <f t="shared" si="26"/>
        <v>3.5218639203106639E-2</v>
      </c>
      <c r="F72" s="210">
        <f t="shared" si="26"/>
        <v>9.909322199752113E-2</v>
      </c>
      <c r="G72" s="211">
        <f t="shared" si="26"/>
        <v>0.10146995303229733</v>
      </c>
      <c r="H72" s="211">
        <f t="shared" si="26"/>
        <v>0.10188892380276249</v>
      </c>
      <c r="I72" s="211">
        <f t="shared" si="26"/>
        <v>0.10237497742654789</v>
      </c>
      <c r="J72" s="211">
        <f t="shared" ref="J72" si="31">J56/I56-1</f>
        <v>0.1029258008736631</v>
      </c>
    </row>
    <row r="73" spans="1:10" s="205" customFormat="1">
      <c r="B73" s="206"/>
      <c r="C73" s="206"/>
      <c r="D73" s="206"/>
      <c r="E73" s="206"/>
      <c r="F73" s="206"/>
      <c r="G73" s="204"/>
      <c r="H73" s="204"/>
      <c r="I73" s="204"/>
      <c r="J73" s="204"/>
    </row>
    <row r="74" spans="1:10">
      <c r="A74" s="175" t="s">
        <v>617</v>
      </c>
      <c r="B74" s="47"/>
      <c r="C74" s="47"/>
      <c r="D74" s="47"/>
      <c r="E74" s="47"/>
      <c r="F74" s="47"/>
      <c r="G74" s="47"/>
      <c r="H74" s="47"/>
      <c r="I74" s="47"/>
      <c r="J74" s="47"/>
    </row>
    <row r="75" spans="1:10">
      <c r="B75" s="179"/>
      <c r="C75" s="179"/>
      <c r="D75" s="179"/>
      <c r="E75" s="179"/>
      <c r="F75" s="179"/>
      <c r="G75" s="184"/>
      <c r="H75" s="184"/>
      <c r="I75" s="184"/>
      <c r="J75" s="184"/>
    </row>
    <row r="76" spans="1:10">
      <c r="A76" s="176" t="s">
        <v>618</v>
      </c>
      <c r="B76" s="183">
        <f t="shared" ref="B76:J76" si="32">B8-B18</f>
        <v>105126</v>
      </c>
      <c r="C76" s="183">
        <f t="shared" si="32"/>
        <v>114728</v>
      </c>
      <c r="D76" s="183">
        <f t="shared" si="32"/>
        <v>108803</v>
      </c>
      <c r="E76" s="183">
        <f t="shared" si="32"/>
        <v>109633</v>
      </c>
      <c r="F76" s="183">
        <f t="shared" si="32"/>
        <v>112887</v>
      </c>
      <c r="G76" s="185">
        <f t="shared" si="32"/>
        <v>131955.92955</v>
      </c>
      <c r="H76" s="185">
        <f t="shared" si="32"/>
        <v>140048.99509950003</v>
      </c>
      <c r="I76" s="185">
        <f t="shared" si="32"/>
        <v>148645.27639831504</v>
      </c>
      <c r="J76" s="185">
        <f t="shared" si="32"/>
        <v>157776.55568842278</v>
      </c>
    </row>
    <row r="77" spans="1:10">
      <c r="A77" s="178" t="s">
        <v>619</v>
      </c>
      <c r="B77" s="182">
        <f t="shared" ref="B77:J77" si="33">B76/B8</f>
        <v>0.35349303276483562</v>
      </c>
      <c r="C77" s="182">
        <f t="shared" si="33"/>
        <v>0.36283479707399452</v>
      </c>
      <c r="D77" s="182">
        <f t="shared" si="33"/>
        <v>0.36500662562691849</v>
      </c>
      <c r="E77" s="182">
        <f t="shared" si="33"/>
        <v>0.37180617636485724</v>
      </c>
      <c r="F77" s="182">
        <f t="shared" si="33"/>
        <v>0.36770650449669873</v>
      </c>
      <c r="G77" s="187">
        <f t="shared" si="33"/>
        <v>0.40500000000000003</v>
      </c>
      <c r="H77" s="187">
        <f t="shared" si="33"/>
        <v>0.40500000000000008</v>
      </c>
      <c r="I77" s="187">
        <f t="shared" si="33"/>
        <v>0.40500000000000003</v>
      </c>
      <c r="J77" s="187">
        <f t="shared" si="33"/>
        <v>0.40500000000000003</v>
      </c>
    </row>
    <row r="78" spans="1:10">
      <c r="A78" s="176" t="s">
        <v>620</v>
      </c>
      <c r="B78" s="183">
        <f t="shared" ref="B78:J78" si="34">B13-B19</f>
        <v>47710</v>
      </c>
      <c r="C78" s="183">
        <f t="shared" si="34"/>
        <v>56054</v>
      </c>
      <c r="D78" s="183">
        <f t="shared" si="34"/>
        <v>60345</v>
      </c>
      <c r="E78" s="183">
        <f t="shared" si="34"/>
        <v>71050</v>
      </c>
      <c r="F78" s="183">
        <f t="shared" si="34"/>
        <v>82314</v>
      </c>
      <c r="G78" s="185">
        <f t="shared" si="34"/>
        <v>97063.293600000005</v>
      </c>
      <c r="H78" s="185">
        <f t="shared" si="34"/>
        <v>110652.15470400002</v>
      </c>
      <c r="I78" s="185">
        <f t="shared" si="34"/>
        <v>126143.45636256004</v>
      </c>
      <c r="J78" s="185">
        <f t="shared" si="34"/>
        <v>143803.54025331847</v>
      </c>
    </row>
    <row r="79" spans="1:10">
      <c r="A79" s="178" t="s">
        <v>621</v>
      </c>
      <c r="B79" s="182">
        <f t="shared" ref="B79:J79" si="35">B78/B13</f>
        <v>0.69725977347460721</v>
      </c>
      <c r="C79" s="182">
        <f t="shared" si="35"/>
        <v>0.71745446633132381</v>
      </c>
      <c r="D79" s="182">
        <f t="shared" si="35"/>
        <v>0.70827464788732397</v>
      </c>
      <c r="E79" s="182">
        <f t="shared" si="35"/>
        <v>0.7388035645582256</v>
      </c>
      <c r="F79" s="182">
        <f t="shared" si="35"/>
        <v>0.75408124003737698</v>
      </c>
      <c r="G79" s="187">
        <f t="shared" si="35"/>
        <v>0.78</v>
      </c>
      <c r="H79" s="187">
        <f t="shared" si="35"/>
        <v>0.78</v>
      </c>
      <c r="I79" s="187">
        <f t="shared" si="35"/>
        <v>0.78</v>
      </c>
      <c r="J79" s="187">
        <f t="shared" si="35"/>
        <v>0.78</v>
      </c>
    </row>
    <row r="80" spans="1:10">
      <c r="A80" s="177" t="s">
        <v>622</v>
      </c>
      <c r="B80" s="181">
        <f t="shared" ref="B80:I80" si="36">B76+B78</f>
        <v>152836</v>
      </c>
      <c r="C80" s="181">
        <f t="shared" si="36"/>
        <v>170782</v>
      </c>
      <c r="D80" s="181">
        <f t="shared" si="36"/>
        <v>169148</v>
      </c>
      <c r="E80" s="181">
        <f t="shared" si="36"/>
        <v>180683</v>
      </c>
      <c r="F80" s="181">
        <f t="shared" si="36"/>
        <v>195201</v>
      </c>
      <c r="G80" s="186">
        <f t="shared" si="36"/>
        <v>229019.22315000001</v>
      </c>
      <c r="H80" s="186">
        <f t="shared" si="36"/>
        <v>250701.14980350004</v>
      </c>
      <c r="I80" s="186">
        <f t="shared" si="36"/>
        <v>274788.73276087508</v>
      </c>
      <c r="J80" s="186">
        <f t="shared" ref="J80" si="37">J76+J78</f>
        <v>301580.09594174125</v>
      </c>
    </row>
    <row r="81" spans="1:10">
      <c r="A81" s="178" t="s">
        <v>623</v>
      </c>
      <c r="B81" s="182">
        <f t="shared" ref="B81:J81" si="38">B80/B14</f>
        <v>0.41779359625167778</v>
      </c>
      <c r="C81" s="182">
        <f t="shared" si="38"/>
        <v>0.43309630561360085</v>
      </c>
      <c r="D81" s="182">
        <f t="shared" si="38"/>
        <v>0.44131129577207562</v>
      </c>
      <c r="E81" s="182">
        <f t="shared" si="38"/>
        <v>0.46206349815233932</v>
      </c>
      <c r="F81" s="182">
        <f t="shared" si="38"/>
        <v>0.46905164107160452</v>
      </c>
      <c r="G81" s="187">
        <f t="shared" si="38"/>
        <v>0.50864085658324687</v>
      </c>
      <c r="H81" s="187">
        <f t="shared" si="38"/>
        <v>0.5140882236712887</v>
      </c>
      <c r="I81" s="187">
        <f t="shared" si="38"/>
        <v>0.51969721062457108</v>
      </c>
      <c r="J81" s="187">
        <f t="shared" si="38"/>
        <v>0.52546013336279684</v>
      </c>
    </row>
    <row r="83" spans="1:10">
      <c r="A83" s="178" t="s">
        <v>624</v>
      </c>
    </row>
  </sheetData>
  <mergeCells count="7">
    <mergeCell ref="A41:J41"/>
    <mergeCell ref="A33:J33"/>
    <mergeCell ref="A1:J1"/>
    <mergeCell ref="A2:J2"/>
    <mergeCell ref="A7:J7"/>
    <mergeCell ref="A17:J17"/>
    <mergeCell ref="A24:J24"/>
  </mergeCells>
  <phoneticPr fontId="113" type="noConversion"/>
  <conditionalFormatting sqref="C68:J72">
    <cfRule type="cellIs" priority="3" operator="greaterThan">
      <formula>0</formula>
    </cfRule>
  </conditionalFormatting>
  <pageMargins left="0.25" right="0.25" top="0.4" bottom="0.4" header="0.511811023622047" footer="0.511811023622047"/>
  <pageSetup paperSize="9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1E3"/>
    <pageSetUpPr fitToPage="1"/>
  </sheetPr>
  <dimension ref="B1:K47"/>
  <sheetViews>
    <sheetView showGridLines="0" zoomScaleNormal="100" workbookViewId="0">
      <selection activeCell="F15" sqref="F15"/>
    </sheetView>
  </sheetViews>
  <sheetFormatPr defaultRowHeight="14.5"/>
  <cols>
    <col min="1" max="1" width="2" customWidth="1"/>
    <col min="2" max="2" width="36" customWidth="1"/>
    <col min="3" max="11" width="13" style="197" customWidth="1"/>
  </cols>
  <sheetData>
    <row r="1" spans="2:11" ht="21">
      <c r="B1" s="333" t="s">
        <v>745</v>
      </c>
      <c r="C1" s="334"/>
      <c r="D1" s="334"/>
      <c r="E1" s="334"/>
      <c r="F1" s="334"/>
      <c r="G1" s="334"/>
      <c r="H1" s="334"/>
      <c r="I1" s="334"/>
      <c r="J1" s="334"/>
      <c r="K1" s="334"/>
    </row>
    <row r="2" spans="2:11" ht="8" customHeight="1"/>
    <row r="3" spans="2:11" ht="15" thickBot="1">
      <c r="B3" s="195" t="s">
        <v>31</v>
      </c>
      <c r="C3" s="259" t="s">
        <v>11</v>
      </c>
      <c r="D3" s="259" t="s">
        <v>12</v>
      </c>
      <c r="E3" s="259" t="s">
        <v>13</v>
      </c>
      <c r="F3" s="259" t="s">
        <v>14</v>
      </c>
      <c r="G3" s="259" t="s">
        <v>15</v>
      </c>
      <c r="H3" s="259" t="s">
        <v>4</v>
      </c>
      <c r="I3" s="259" t="s">
        <v>16</v>
      </c>
      <c r="J3" s="259" t="s">
        <v>17</v>
      </c>
      <c r="K3" s="259" t="s">
        <v>692</v>
      </c>
    </row>
    <row r="4" spans="2:11" ht="17" customHeight="1">
      <c r="B4" s="331" t="s">
        <v>633</v>
      </c>
      <c r="C4" s="331"/>
      <c r="D4" s="331"/>
      <c r="E4" s="331"/>
      <c r="F4" s="331"/>
      <c r="G4" s="331"/>
      <c r="H4" s="331"/>
      <c r="I4" s="331"/>
      <c r="J4" s="331"/>
      <c r="K4" s="332"/>
    </row>
    <row r="5" spans="2:11" ht="17" customHeight="1">
      <c r="B5" s="189" t="s">
        <v>634</v>
      </c>
      <c r="C5" s="294">
        <v>34940</v>
      </c>
      <c r="D5" s="294">
        <v>23646</v>
      </c>
      <c r="E5" s="294">
        <v>29965</v>
      </c>
      <c r="F5" s="294">
        <v>29943</v>
      </c>
      <c r="G5" s="294">
        <v>35934</v>
      </c>
      <c r="H5" s="260">
        <f>CFS!G30</f>
        <v>6473.360556974978</v>
      </c>
      <c r="I5" s="260">
        <f>CFS!H30</f>
        <v>-28288.741597983899</v>
      </c>
      <c r="J5" s="260">
        <f>CFS!I30</f>
        <v>-48888.058132895501</v>
      </c>
      <c r="K5" s="260">
        <f>CFS!J30</f>
        <v>-60253.202854006639</v>
      </c>
    </row>
    <row r="6" spans="2:11">
      <c r="B6" s="200" t="s">
        <v>635</v>
      </c>
      <c r="C6" s="294">
        <v>27699</v>
      </c>
      <c r="D6" s="294">
        <v>24658</v>
      </c>
      <c r="E6" s="294">
        <v>31590</v>
      </c>
      <c r="F6" s="294">
        <v>35228</v>
      </c>
      <c r="G6" s="294">
        <v>18763</v>
      </c>
      <c r="H6" s="260">
        <f>CHOOSE(MATCH(Scenario,{"Bear","Base","Bull"},0),Assumptions!$B$88,Assumptions!$C$88,Assumptions!$D$88)</f>
        <v>38000</v>
      </c>
      <c r="I6" s="260">
        <f>CHOOSE(MATCH(Scenario,{"Bear","Base","Bull"},0),Assumptions!$E$88,Assumptions!$F$88,Assumptions!$G$88)</f>
        <v>40000</v>
      </c>
      <c r="J6" s="260">
        <f>CHOOSE(MATCH(Scenario,{"Bear","Base","Bull"},0),Assumptions!$H$88,Assumptions!$I$88,Assumptions!$J$88)</f>
        <v>42000</v>
      </c>
      <c r="K6" s="260">
        <f>CHOOSE(MATCH(Scenario,{"Bear","Base","Bull"},0),Assumptions!$K$88,Assumptions!$L$88,Assumptions!$M$88)</f>
        <v>42000</v>
      </c>
    </row>
    <row r="7" spans="2:11" ht="17" customHeight="1">
      <c r="B7" s="200" t="s">
        <v>196</v>
      </c>
      <c r="C7" s="294">
        <v>26278</v>
      </c>
      <c r="D7" s="294">
        <v>28184</v>
      </c>
      <c r="E7" s="294">
        <v>29508</v>
      </c>
      <c r="F7" s="294">
        <v>33410</v>
      </c>
      <c r="G7" s="294">
        <v>39777</v>
      </c>
      <c r="H7" s="260">
        <f>Assumptions!G28*IS!G14/365</f>
        <v>37007.443561643835</v>
      </c>
      <c r="I7" s="260">
        <f>Assumptions!H28*IS!H14/365</f>
        <v>40081.785591780827</v>
      </c>
      <c r="J7" s="260">
        <f>Assumptions!I28*IS!I14/365</f>
        <v>43458.719488356168</v>
      </c>
      <c r="K7" s="260">
        <f>Assumptions!J28*IS!J14/365</f>
        <v>47172.76073308193</v>
      </c>
    </row>
    <row r="8" spans="2:11" ht="17" customHeight="1">
      <c r="B8" s="200" t="s">
        <v>74</v>
      </c>
      <c r="C8" s="294">
        <v>6580</v>
      </c>
      <c r="D8" s="294">
        <v>4946</v>
      </c>
      <c r="E8" s="294">
        <v>6331</v>
      </c>
      <c r="F8" s="294">
        <v>7286</v>
      </c>
      <c r="G8" s="294">
        <v>5718</v>
      </c>
      <c r="H8" s="260">
        <f>Assumptions!G29*IS!G20/365</f>
        <v>6061.3152561643828</v>
      </c>
      <c r="I8" s="260">
        <f>Assumptions!H29*IS!H20/365</f>
        <v>6492.0705451095882</v>
      </c>
      <c r="J8" s="260">
        <f>Assumptions!I29*IS!I20/365</f>
        <v>6957.7813976472617</v>
      </c>
      <c r="K8" s="260">
        <f>Assumptions!J29*IS!J20/365</f>
        <v>7461.7851957284629</v>
      </c>
    </row>
    <row r="9" spans="2:11" ht="17" customHeight="1">
      <c r="B9" s="200" t="s">
        <v>636</v>
      </c>
      <c r="C9" s="294">
        <v>25228</v>
      </c>
      <c r="D9" s="294">
        <v>32748</v>
      </c>
      <c r="E9" s="294">
        <v>31477</v>
      </c>
      <c r="F9" s="294">
        <v>32833</v>
      </c>
      <c r="G9" s="294">
        <v>28448</v>
      </c>
      <c r="H9" s="260">
        <f>Assumptions!G35*IS!G20</f>
        <v>29867.130924749999</v>
      </c>
      <c r="I9" s="260">
        <f>Assumptions!H35*IS!H20</f>
        <v>31989.677611027499</v>
      </c>
      <c r="J9" s="260">
        <f>Assumptions!I35*IS!I20</f>
        <v>34284.467836906879</v>
      </c>
      <c r="K9" s="260">
        <f>Assumptions!J35*IS!J20</f>
        <v>36767.946551952002</v>
      </c>
    </row>
    <row r="10" spans="2:11" ht="17" customHeight="1">
      <c r="B10" s="189" t="s">
        <v>75</v>
      </c>
      <c r="C10" s="294">
        <v>14111</v>
      </c>
      <c r="D10" s="294">
        <v>21223</v>
      </c>
      <c r="E10" s="294">
        <v>14695</v>
      </c>
      <c r="F10" s="294">
        <v>14287</v>
      </c>
      <c r="G10" s="294">
        <v>19317</v>
      </c>
      <c r="H10" s="260">
        <f>CHOOSE(MATCH(Scenario,{"Bear","Base","Bull"},0),Assumptions!$B$89,Assumptions!$C$89,Assumptions!$D$89)</f>
        <v>-9400</v>
      </c>
      <c r="I10" s="260">
        <f>CHOOSE(MATCH(Scenario,{"Bear","Base","Bull"},0),Assumptions!$E$89,Assumptions!$F$89,Assumptions!$G$89)</f>
        <v>-9900</v>
      </c>
      <c r="J10" s="260">
        <f>CHOOSE(MATCH(Scenario,{"Bear","Base","Bull"},0),Assumptions!$H$89,Assumptions!$I$89,Assumptions!$J$89)</f>
        <v>-10600</v>
      </c>
      <c r="K10" s="260">
        <f>CHOOSE(MATCH(Scenario,{"Bear","Base","Bull"},0),Assumptions!$K$89,Assumptions!$L$89,Assumptions!$M$89)</f>
        <v>-10600</v>
      </c>
    </row>
    <row r="11" spans="2:11" ht="17" customHeight="1">
      <c r="B11" s="196" t="s">
        <v>637</v>
      </c>
      <c r="C11" s="261">
        <f>SUM(C5:C10)</f>
        <v>134836</v>
      </c>
      <c r="D11" s="261">
        <f>SUM(D5:D10)</f>
        <v>135405</v>
      </c>
      <c r="E11" s="261">
        <f t="shared" ref="E11:J11" si="0">SUM(E5:E10)</f>
        <v>143566</v>
      </c>
      <c r="F11" s="261">
        <f t="shared" si="0"/>
        <v>152987</v>
      </c>
      <c r="G11" s="261">
        <f t="shared" si="0"/>
        <v>147957</v>
      </c>
      <c r="H11" s="262">
        <f t="shared" si="0"/>
        <v>108009.25029953319</v>
      </c>
      <c r="I11" s="262">
        <f t="shared" si="0"/>
        <v>80374.792149934015</v>
      </c>
      <c r="J11" s="262">
        <f t="shared" si="0"/>
        <v>67212.910590014799</v>
      </c>
      <c r="K11" s="262">
        <f>SUM(K5:K10)</f>
        <v>62549.289626755752</v>
      </c>
    </row>
    <row r="12" spans="2:11" ht="17" customHeight="1">
      <c r="B12" s="199"/>
      <c r="C12" s="263"/>
      <c r="D12" s="263"/>
      <c r="E12" s="263"/>
      <c r="F12" s="263"/>
      <c r="G12" s="263"/>
      <c r="H12" s="264"/>
      <c r="I12" s="264"/>
      <c r="J12" s="264"/>
      <c r="K12" s="264"/>
    </row>
    <row r="13" spans="2:11" ht="17" customHeight="1">
      <c r="B13" s="331" t="s">
        <v>638</v>
      </c>
      <c r="C13" s="331"/>
      <c r="D13" s="331"/>
      <c r="E13" s="331"/>
      <c r="F13" s="331"/>
      <c r="G13" s="331"/>
      <c r="H13" s="331"/>
      <c r="I13" s="331"/>
      <c r="J13" s="331"/>
      <c r="K13" s="331"/>
    </row>
    <row r="14" spans="2:11" ht="17" customHeight="1">
      <c r="B14" s="189" t="s">
        <v>199</v>
      </c>
      <c r="C14" s="295">
        <v>39440</v>
      </c>
      <c r="D14" s="295">
        <v>42117</v>
      </c>
      <c r="E14" s="295">
        <v>43715</v>
      </c>
      <c r="F14" s="295">
        <v>45680</v>
      </c>
      <c r="G14" s="295">
        <v>49834</v>
      </c>
      <c r="H14" s="265">
        <f>G14+Assumptions!G37*IS!G14-Assumptions!G38</f>
        <v>48483.228309999999</v>
      </c>
      <c r="I14" s="265">
        <f>H14+Assumptions!H37*IS!H14-Assumptions!H38</f>
        <v>47020.243135900004</v>
      </c>
      <c r="J14" s="265">
        <f>I14+Assumptions!I37*IS!I14-Assumptions!I38</f>
        <v>45433.999874574998</v>
      </c>
      <c r="K14" s="265">
        <f>J14+Assumptions!J37*IS!J14-Assumptions!J38</f>
        <v>43712.1941078175</v>
      </c>
    </row>
    <row r="15" spans="2:11" ht="17" customHeight="1">
      <c r="B15" s="189" t="s">
        <v>639</v>
      </c>
      <c r="C15" s="294">
        <v>127877</v>
      </c>
      <c r="D15" s="294">
        <v>120805</v>
      </c>
      <c r="E15" s="294">
        <v>100544</v>
      </c>
      <c r="F15" s="294">
        <v>91479</v>
      </c>
      <c r="G15" s="294">
        <v>77723</v>
      </c>
      <c r="H15" s="266">
        <f>H39-H11-H14-H16</f>
        <v>49599.294163332233</v>
      </c>
      <c r="I15" s="266">
        <f>I39-I11-I14-I16</f>
        <v>81924.692026910168</v>
      </c>
      <c r="J15" s="266">
        <f>J39-J11-J14-J16</f>
        <v>80412.994937796931</v>
      </c>
      <c r="K15" s="266">
        <f>K39-K11-K14-K16</f>
        <v>80412.994937796961</v>
      </c>
    </row>
    <row r="16" spans="2:11" ht="17" customHeight="1">
      <c r="B16" s="189" t="s">
        <v>77</v>
      </c>
      <c r="C16" s="294">
        <v>48849</v>
      </c>
      <c r="D16" s="294">
        <v>54428</v>
      </c>
      <c r="E16" s="294">
        <v>64758</v>
      </c>
      <c r="F16" s="294">
        <v>74834</v>
      </c>
      <c r="G16" s="294">
        <v>83727</v>
      </c>
      <c r="H16" s="260">
        <f>CHOOSE(MATCH(Scenario,{"Bear","Base","Bull"},0),Assumptions!$B$90,Assumptions!$C$90,Assumptions!$D$90)</f>
        <v>118000</v>
      </c>
      <c r="I16" s="260">
        <f>CHOOSE(MATCH(Scenario,{"Bear","Base","Bull"},0),Assumptions!$E$90,Assumptions!$F$90,Assumptions!$G$90)</f>
        <v>125000</v>
      </c>
      <c r="J16" s="260">
        <f>CHOOSE(MATCH(Scenario,{"Bear","Base","Bull"},0),Assumptions!$H$90,Assumptions!$I$90,Assumptions!$J$90)</f>
        <v>132000</v>
      </c>
      <c r="K16" s="260">
        <f>CHOOSE(MATCH(Scenario,{"Bear","Base","Bull"},0),Assumptions!$K$90,Assumptions!$L$90,Assumptions!$M$90)</f>
        <v>132000</v>
      </c>
    </row>
    <row r="17" spans="2:11" ht="17" customHeight="1">
      <c r="B17" s="196" t="s">
        <v>640</v>
      </c>
      <c r="C17" s="261">
        <f>SUM(C14:C16)</f>
        <v>216166</v>
      </c>
      <c r="D17" s="261">
        <f t="shared" ref="D17:G17" si="1">SUM(D14:D16)</f>
        <v>217350</v>
      </c>
      <c r="E17" s="261">
        <f t="shared" si="1"/>
        <v>209017</v>
      </c>
      <c r="F17" s="261">
        <f t="shared" si="1"/>
        <v>211993</v>
      </c>
      <c r="G17" s="261">
        <f t="shared" si="1"/>
        <v>211284</v>
      </c>
      <c r="H17" s="262">
        <f>SUM(H14:H16)</f>
        <v>216082.52247333224</v>
      </c>
      <c r="I17" s="262">
        <f>SUM(I14:I16)</f>
        <v>253944.93516281017</v>
      </c>
      <c r="J17" s="262">
        <f>SUM(J14:J16)</f>
        <v>257846.99481237194</v>
      </c>
      <c r="K17" s="262">
        <f>SUM(K14:K16)</f>
        <v>256125.18904561445</v>
      </c>
    </row>
    <row r="18" spans="2:11" ht="17" customHeight="1">
      <c r="B18" s="196" t="s">
        <v>314</v>
      </c>
      <c r="C18" s="261">
        <f>C11+C17</f>
        <v>351002</v>
      </c>
      <c r="D18" s="261">
        <f t="shared" ref="D18:G18" si="2">D11+D17</f>
        <v>352755</v>
      </c>
      <c r="E18" s="261">
        <f t="shared" si="2"/>
        <v>352583</v>
      </c>
      <c r="F18" s="261">
        <f t="shared" si="2"/>
        <v>364980</v>
      </c>
      <c r="G18" s="261">
        <f t="shared" si="2"/>
        <v>359241</v>
      </c>
      <c r="H18" s="262">
        <f>H11+H17</f>
        <v>324091.77277286543</v>
      </c>
      <c r="I18" s="262">
        <f>I11+I17</f>
        <v>334319.72731274419</v>
      </c>
      <c r="J18" s="262">
        <f>J11+J17</f>
        <v>325059.90540238674</v>
      </c>
      <c r="K18" s="262">
        <f>K11+K17</f>
        <v>318674.4786723702</v>
      </c>
    </row>
    <row r="19" spans="2:11" ht="17" customHeight="1">
      <c r="B19" s="196"/>
      <c r="C19" s="263"/>
      <c r="D19" s="263"/>
      <c r="E19" s="263"/>
      <c r="F19" s="263"/>
      <c r="G19" s="263"/>
      <c r="H19" s="264"/>
      <c r="I19" s="264"/>
      <c r="J19" s="264"/>
      <c r="K19" s="264"/>
    </row>
    <row r="20" spans="2:11" ht="17" customHeight="1">
      <c r="B20" s="331" t="s">
        <v>641</v>
      </c>
      <c r="C20" s="331"/>
      <c r="D20" s="331"/>
      <c r="E20" s="331"/>
      <c r="F20" s="331"/>
      <c r="G20" s="331"/>
      <c r="H20" s="331"/>
      <c r="I20" s="331"/>
      <c r="J20" s="331"/>
      <c r="K20" s="331"/>
    </row>
    <row r="21" spans="2:11" ht="17" customHeight="1">
      <c r="B21" s="189" t="s">
        <v>79</v>
      </c>
      <c r="C21" s="295">
        <v>54763</v>
      </c>
      <c r="D21" s="295">
        <v>64115</v>
      </c>
      <c r="E21" s="295">
        <v>62611</v>
      </c>
      <c r="F21" s="295">
        <v>68960</v>
      </c>
      <c r="G21" s="295">
        <v>69860</v>
      </c>
      <c r="H21" s="265">
        <f>Assumptions!G30*IS!G20/365</f>
        <v>69705.1254458904</v>
      </c>
      <c r="I21" s="265">
        <f>Assumptions!H30*IS!H20/365</f>
        <v>74658.81126876027</v>
      </c>
      <c r="J21" s="265">
        <f>Assumptions!I30*IS!I20/365</f>
        <v>80014.486072943502</v>
      </c>
      <c r="K21" s="265">
        <f>Assumptions!J30*IS!J20/365</f>
        <v>85810.529750877322</v>
      </c>
    </row>
    <row r="22" spans="2:11" ht="17" customHeight="1">
      <c r="B22" s="189" t="s">
        <v>80</v>
      </c>
      <c r="C22" s="294">
        <v>47493</v>
      </c>
      <c r="D22" s="294">
        <v>60845</v>
      </c>
      <c r="E22" s="294">
        <v>58829</v>
      </c>
      <c r="F22" s="294">
        <v>78304</v>
      </c>
      <c r="G22" s="294">
        <v>81477</v>
      </c>
      <c r="H22" s="260">
        <f>Assumptions!G33*IS!G14</f>
        <v>76543.729099999997</v>
      </c>
      <c r="I22" s="260">
        <f>Assumptions!H33*IS!H14</f>
        <v>82902.493199000004</v>
      </c>
      <c r="J22" s="260">
        <f>Assumptions!I33*IS!I14</f>
        <v>89887.118141750019</v>
      </c>
      <c r="K22" s="260">
        <f>Assumptions!J33*IS!J14</f>
        <v>97568.993449591144</v>
      </c>
    </row>
    <row r="23" spans="2:11" ht="17" customHeight="1">
      <c r="B23" s="189" t="s">
        <v>642</v>
      </c>
      <c r="C23" s="294">
        <v>7612</v>
      </c>
      <c r="D23" s="294">
        <v>7912</v>
      </c>
      <c r="E23" s="294">
        <v>8061</v>
      </c>
      <c r="F23" s="294">
        <v>8249</v>
      </c>
      <c r="G23" s="294">
        <v>8249</v>
      </c>
      <c r="H23" s="260">
        <f>Assumptions!G34*IS!G13</f>
        <v>9706.3293600000015</v>
      </c>
      <c r="I23" s="260">
        <f>Assumptions!H34*IS!H13</f>
        <v>11065.2154704</v>
      </c>
      <c r="J23" s="260">
        <f>Assumptions!I34*IS!I13</f>
        <v>12614.345636256003</v>
      </c>
      <c r="K23" s="260">
        <f>Assumptions!J34*IS!J13</f>
        <v>14380.354025331846</v>
      </c>
    </row>
    <row r="24" spans="2:11" ht="17" customHeight="1">
      <c r="B24" s="189" t="s">
        <v>643</v>
      </c>
      <c r="C24" s="295">
        <v>6000</v>
      </c>
      <c r="D24" s="295">
        <v>9982</v>
      </c>
      <c r="E24" s="295">
        <v>5985</v>
      </c>
      <c r="F24" s="295">
        <v>9967</v>
      </c>
      <c r="G24" s="295">
        <v>6045</v>
      </c>
      <c r="H24" s="265">
        <f>CHOOSE(MATCH(Scenario,{"Bear","Base","Bull"},0),Assumptions!$B$91,Assumptions!$C$91,Assumptions!$D$91)</f>
        <v>-4000</v>
      </c>
      <c r="I24" s="265">
        <f>CHOOSE(MATCH(Scenario,{"Bear","Base","Bull"},0),Assumptions!$E$91,Assumptions!$F$91,Assumptions!$G$91)</f>
        <v>-3300</v>
      </c>
      <c r="J24" s="265">
        <f>CHOOSE(MATCH(Scenario,{"Bear","Base","Bull"},0),Assumptions!$H$91,Assumptions!$I$91,Assumptions!$J$91)</f>
        <v>-4500</v>
      </c>
      <c r="K24" s="265">
        <f>CHOOSE(MATCH(Scenario,{"Bear","Base","Bull"},0),Assumptions!$K$91,Assumptions!$L$91,Assumptions!$M$91)</f>
        <v>-4500</v>
      </c>
    </row>
    <row r="25" spans="2:11" ht="17" customHeight="1">
      <c r="B25" s="189" t="s">
        <v>644</v>
      </c>
      <c r="C25" s="294">
        <v>9613</v>
      </c>
      <c r="D25" s="294">
        <v>11128</v>
      </c>
      <c r="E25" s="294">
        <v>9822</v>
      </c>
      <c r="F25" s="294">
        <v>10912</v>
      </c>
      <c r="G25" s="294">
        <v>0</v>
      </c>
      <c r="H25" s="260">
        <f>CHOOSE(MATCH(Scenario,{"Bear","Base","Bull"},0),Assumptions!$B$92,Assumptions!$C$92,Assumptions!$D$92)</f>
        <v>1500</v>
      </c>
      <c r="I25" s="260">
        <f>CHOOSE(MATCH(Scenario,{"Bear","Base","Bull"},0),Assumptions!$E$92,Assumptions!$F$92,Assumptions!$G$92)</f>
        <v>0</v>
      </c>
      <c r="J25" s="260">
        <f>CHOOSE(MATCH(Scenario,{"Bear","Base","Bull"},0),Assumptions!$H$92,Assumptions!$I$92,Assumptions!$J$92)</f>
        <v>0</v>
      </c>
      <c r="K25" s="260">
        <f>CHOOSE(MATCH(Scenario,{"Bear","Base","Bull"},0),Assumptions!$K$92,Assumptions!$L$92,Assumptions!$M$92)</f>
        <v>0</v>
      </c>
    </row>
    <row r="26" spans="2:11" ht="17" customHeight="1">
      <c r="B26" s="196" t="s">
        <v>645</v>
      </c>
      <c r="C26" s="261">
        <f>SUM(C21:C25)</f>
        <v>125481</v>
      </c>
      <c r="D26" s="261">
        <f t="shared" ref="D26:G26" si="3">SUM(D21:D25)</f>
        <v>153982</v>
      </c>
      <c r="E26" s="261">
        <f t="shared" si="3"/>
        <v>145308</v>
      </c>
      <c r="F26" s="261">
        <f t="shared" si="3"/>
        <v>176392</v>
      </c>
      <c r="G26" s="261">
        <f t="shared" si="3"/>
        <v>165631</v>
      </c>
      <c r="H26" s="262">
        <f>SUM(H21:H25)</f>
        <v>153455.18390589042</v>
      </c>
      <c r="I26" s="262">
        <f>SUM(I21:I25)</f>
        <v>165326.51993816026</v>
      </c>
      <c r="J26" s="262">
        <f>SUM(J21:J25)</f>
        <v>178015.94985094955</v>
      </c>
      <c r="K26" s="262">
        <f>SUM(K21:K25)</f>
        <v>193259.8772258003</v>
      </c>
    </row>
    <row r="27" spans="2:11" ht="17" customHeight="1">
      <c r="B27" s="196"/>
      <c r="C27" s="263"/>
      <c r="D27" s="263"/>
      <c r="E27" s="263"/>
      <c r="F27" s="263"/>
      <c r="G27" s="263"/>
      <c r="H27" s="264"/>
      <c r="I27" s="264"/>
      <c r="J27" s="264"/>
      <c r="K27" s="264"/>
    </row>
    <row r="28" spans="2:11" ht="17" customHeight="1">
      <c r="B28" s="331" t="s">
        <v>646</v>
      </c>
      <c r="C28" s="331"/>
      <c r="D28" s="331"/>
      <c r="E28" s="331"/>
      <c r="F28" s="331"/>
      <c r="G28" s="331"/>
      <c r="H28" s="331"/>
      <c r="I28" s="331"/>
      <c r="J28" s="331"/>
      <c r="K28" s="331"/>
    </row>
    <row r="29" spans="2:11" ht="17" customHeight="1">
      <c r="B29" s="189" t="s">
        <v>82</v>
      </c>
      <c r="C29" s="295">
        <v>109106</v>
      </c>
      <c r="D29" s="295">
        <v>98959</v>
      </c>
      <c r="E29" s="295">
        <v>95281</v>
      </c>
      <c r="F29" s="295">
        <v>85750</v>
      </c>
      <c r="G29" s="295">
        <v>78328</v>
      </c>
      <c r="H29" s="265">
        <f>CHOOSE(MATCH(Scenario,{"Bear","Base","Bull"},0),Assumptions!$B$93,Assumptions!$C$93,Assumptions!$D$93)</f>
        <v>60000</v>
      </c>
      <c r="I29" s="265">
        <f>CHOOSE(MATCH(Scenario,{"Bear","Base","Bull"},0),Assumptions!$E$93,Assumptions!$F$93,Assumptions!$G$93)</f>
        <v>50000</v>
      </c>
      <c r="J29" s="265">
        <f>CHOOSE(MATCH(Scenario,{"Bear","Base","Bull"},0),Assumptions!$H$93,Assumptions!$I$93,Assumptions!$J$93)</f>
        <v>40000</v>
      </c>
      <c r="K29" s="265">
        <f>CHOOSE(MATCH(Scenario,{"Bear","Base","Bull"},0),Assumptions!$K$93,Assumptions!$L$93,Assumptions!$M$93)</f>
        <v>40000</v>
      </c>
    </row>
    <row r="30" spans="2:11" ht="17" customHeight="1">
      <c r="B30" s="189" t="s">
        <v>203</v>
      </c>
      <c r="C30" s="294">
        <v>53325</v>
      </c>
      <c r="D30" s="294">
        <v>49142</v>
      </c>
      <c r="E30" s="294">
        <v>49848</v>
      </c>
      <c r="F30" s="294">
        <v>45888</v>
      </c>
      <c r="G30" s="294">
        <v>41549</v>
      </c>
      <c r="H30" s="260">
        <f>CHOOSE(MATCH(Scenario,{"Bear","Base","Bull"},0),Assumptions!$B$94,Assumptions!$C$94,Assumptions!$D$94)</f>
        <v>31000</v>
      </c>
      <c r="I30" s="260">
        <f>CHOOSE(MATCH(Scenario,{"Bear","Base","Bull"},0),Assumptions!$E$94,Assumptions!$F$94,Assumptions!$G$94)</f>
        <v>30000</v>
      </c>
      <c r="J30" s="260">
        <f>CHOOSE(MATCH(Scenario,{"Bear","Base","Bull"},0),Assumptions!$H$94,Assumptions!$I$94,Assumptions!$J$94)</f>
        <v>29000</v>
      </c>
      <c r="K30" s="260">
        <f>CHOOSE(MATCH(Scenario,{"Bear","Base","Bull"},0),Assumptions!$K$94,Assumptions!$L$94,Assumptions!$M$94)</f>
        <v>29000</v>
      </c>
    </row>
    <row r="31" spans="2:11">
      <c r="B31" s="196" t="s">
        <v>647</v>
      </c>
      <c r="C31" s="261">
        <f>SUM(C29:C30)</f>
        <v>162431</v>
      </c>
      <c r="D31" s="261">
        <f t="shared" ref="D31:G31" si="4">SUM(D29:D30)</f>
        <v>148101</v>
      </c>
      <c r="E31" s="261">
        <f t="shared" si="4"/>
        <v>145129</v>
      </c>
      <c r="F31" s="261">
        <f t="shared" si="4"/>
        <v>131638</v>
      </c>
      <c r="G31" s="261">
        <f t="shared" si="4"/>
        <v>119877</v>
      </c>
      <c r="H31" s="262">
        <f>SUM(H29:H30)</f>
        <v>91000</v>
      </c>
      <c r="I31" s="262">
        <f>SUM(I29:I30)</f>
        <v>80000</v>
      </c>
      <c r="J31" s="262">
        <f>SUM(J29:J30)</f>
        <v>69000</v>
      </c>
      <c r="K31" s="262">
        <f>SUM(K29:K30)</f>
        <v>69000</v>
      </c>
    </row>
    <row r="32" spans="2:11" ht="17" customHeight="1">
      <c r="B32" s="196" t="s">
        <v>648</v>
      </c>
      <c r="C32" s="261">
        <f>C26+C31</f>
        <v>287912</v>
      </c>
      <c r="D32" s="261">
        <f t="shared" ref="D32:G32" si="5">D26+D31</f>
        <v>302083</v>
      </c>
      <c r="E32" s="261">
        <f t="shared" si="5"/>
        <v>290437</v>
      </c>
      <c r="F32" s="261">
        <f t="shared" si="5"/>
        <v>308030</v>
      </c>
      <c r="G32" s="261">
        <f t="shared" si="5"/>
        <v>285508</v>
      </c>
      <c r="H32" s="262">
        <f>H26+H31</f>
        <v>244455.18390589042</v>
      </c>
      <c r="I32" s="262">
        <f>I26+I31</f>
        <v>245326.51993816026</v>
      </c>
      <c r="J32" s="262">
        <f>J26+J31</f>
        <v>247015.94985094955</v>
      </c>
      <c r="K32" s="262">
        <f>K26+K31</f>
        <v>262259.8772258003</v>
      </c>
    </row>
    <row r="33" spans="2:11" ht="17" customHeight="1">
      <c r="B33" s="199"/>
      <c r="C33" s="267"/>
      <c r="D33" s="267"/>
      <c r="E33" s="267"/>
      <c r="F33" s="267"/>
      <c r="G33" s="267"/>
      <c r="H33" s="267"/>
      <c r="I33" s="267"/>
      <c r="J33" s="267"/>
      <c r="K33" s="267"/>
    </row>
    <row r="34" spans="2:11">
      <c r="B34" s="331" t="s">
        <v>649</v>
      </c>
      <c r="C34" s="331"/>
      <c r="D34" s="331"/>
      <c r="E34" s="331"/>
      <c r="F34" s="331"/>
      <c r="G34" s="331"/>
      <c r="H34" s="331"/>
      <c r="I34" s="331"/>
      <c r="J34" s="331"/>
      <c r="K34" s="331"/>
    </row>
    <row r="35" spans="2:11" ht="17" customHeight="1">
      <c r="B35" s="189" t="s">
        <v>650</v>
      </c>
      <c r="C35" s="294">
        <v>57365</v>
      </c>
      <c r="D35" s="294">
        <v>64849</v>
      </c>
      <c r="E35" s="294">
        <v>73812</v>
      </c>
      <c r="F35" s="294">
        <v>83276</v>
      </c>
      <c r="G35" s="294">
        <v>95520</v>
      </c>
      <c r="H35" s="260">
        <f>G35+CFS!G12</f>
        <v>109477.97413</v>
      </c>
      <c r="I35" s="260">
        <f>H35+CFS!H12</f>
        <v>124595.4875957</v>
      </c>
      <c r="J35" s="260">
        <f>I35+CFS!I12</f>
        <v>140986.66796272501</v>
      </c>
      <c r="K35" s="260">
        <f>J35+CFS!J12</f>
        <v>158778.66088588574</v>
      </c>
    </row>
    <row r="36" spans="2:11">
      <c r="B36" s="189" t="s">
        <v>651</v>
      </c>
      <c r="C36" s="294">
        <v>5562</v>
      </c>
      <c r="D36" s="294">
        <v>-3068</v>
      </c>
      <c r="E36" s="294">
        <v>-214</v>
      </c>
      <c r="F36" s="294">
        <v>-19154</v>
      </c>
      <c r="G36" s="294">
        <v>-22031</v>
      </c>
      <c r="H36" s="260">
        <f>G36+IS!G38+CFS!G24+CFS!G25</f>
        <v>-29941.385263025004</v>
      </c>
      <c r="I36" s="260">
        <f>H36+IS!H38+CFS!H24+CFS!H25</f>
        <v>-35682.28022111606</v>
      </c>
      <c r="J36" s="260">
        <f>I36+IS!I38+CFS!I24+CFS!I25</f>
        <v>-63002.712411287808</v>
      </c>
      <c r="K36" s="260">
        <f>J36+IS!J38+CFS!J24+CFS!J25</f>
        <v>-102424.05943931582</v>
      </c>
    </row>
    <row r="37" spans="2:11" ht="17" customHeight="1">
      <c r="B37" s="189" t="s">
        <v>652</v>
      </c>
      <c r="C37" s="295">
        <v>163</v>
      </c>
      <c r="D37" s="295">
        <v>-11109</v>
      </c>
      <c r="E37" s="295">
        <v>-11452</v>
      </c>
      <c r="F37" s="295">
        <v>-7172</v>
      </c>
      <c r="G37" s="295">
        <v>244</v>
      </c>
      <c r="H37" s="265">
        <f>CHOOSE(MATCH(Scenario,{"Bear","Base","Bull"},0),Assumptions!$B$95,Assumptions!$C$95,Assumptions!$D$95)</f>
        <v>100</v>
      </c>
      <c r="I37" s="265">
        <f>CHOOSE(MATCH(Scenario,{"Bear","Base","Bull"},0),Assumptions!$E$95,Assumptions!$F$95,Assumptions!$G$95)</f>
        <v>80</v>
      </c>
      <c r="J37" s="265">
        <f>CHOOSE(MATCH(Scenario,{"Bear","Base","Bull"},0),Assumptions!$H$95,Assumptions!$I$95,Assumptions!$J$95)</f>
        <v>60</v>
      </c>
      <c r="K37" s="265">
        <f>CHOOSE(MATCH(Scenario,{"Bear","Base","Bull"},0),Assumptions!$K$95,Assumptions!$L$95,Assumptions!$M$95)</f>
        <v>60</v>
      </c>
    </row>
    <row r="38" spans="2:11">
      <c r="B38" s="196" t="s">
        <v>653</v>
      </c>
      <c r="C38" s="261">
        <f>SUM(C35:C37)</f>
        <v>63090</v>
      </c>
      <c r="D38" s="261">
        <f t="shared" ref="D38:G38" si="6">SUM(D35:D37)</f>
        <v>50672</v>
      </c>
      <c r="E38" s="261">
        <f t="shared" si="6"/>
        <v>62146</v>
      </c>
      <c r="F38" s="261">
        <f t="shared" si="6"/>
        <v>56950</v>
      </c>
      <c r="G38" s="261">
        <f t="shared" si="6"/>
        <v>73733</v>
      </c>
      <c r="H38" s="262">
        <f>SUM(H35:H37)</f>
        <v>79636.588866974998</v>
      </c>
      <c r="I38" s="262">
        <f>SUM(I35:I37)</f>
        <v>88993.207374583944</v>
      </c>
      <c r="J38" s="262">
        <f>SUM(J35:J37)</f>
        <v>78043.955551437204</v>
      </c>
      <c r="K38" s="262">
        <f>SUM(K35:K37)</f>
        <v>56414.601446569912</v>
      </c>
    </row>
    <row r="39" spans="2:11">
      <c r="B39" s="196" t="s">
        <v>315</v>
      </c>
      <c r="C39" s="261">
        <f>C32+C38</f>
        <v>351002</v>
      </c>
      <c r="D39" s="261">
        <f t="shared" ref="D39:G39" si="7">D32+D38</f>
        <v>352755</v>
      </c>
      <c r="E39" s="261">
        <f t="shared" si="7"/>
        <v>352583</v>
      </c>
      <c r="F39" s="261">
        <f t="shared" si="7"/>
        <v>364980</v>
      </c>
      <c r="G39" s="261">
        <f t="shared" si="7"/>
        <v>359241</v>
      </c>
      <c r="H39" s="262">
        <f>H32+H38</f>
        <v>324091.77277286543</v>
      </c>
      <c r="I39" s="262">
        <f>I32+I38</f>
        <v>334319.72731274419</v>
      </c>
      <c r="J39" s="262">
        <f>J32+J38</f>
        <v>325059.90540238674</v>
      </c>
      <c r="K39" s="262">
        <f>K32+K38</f>
        <v>318674.4786723702</v>
      </c>
    </row>
    <row r="40" spans="2:11">
      <c r="B40" s="199"/>
      <c r="C40" s="267"/>
      <c r="D40" s="267"/>
      <c r="E40" s="267"/>
      <c r="F40" s="267"/>
      <c r="G40" s="267"/>
      <c r="H40" s="267"/>
      <c r="I40" s="267"/>
      <c r="J40" s="267"/>
      <c r="K40" s="267"/>
    </row>
    <row r="41" spans="2:11">
      <c r="B41" s="331" t="s">
        <v>654</v>
      </c>
      <c r="C41" s="331"/>
      <c r="D41" s="331"/>
      <c r="E41" s="331"/>
      <c r="F41" s="331"/>
      <c r="G41" s="331"/>
      <c r="H41" s="331"/>
      <c r="I41" s="331"/>
      <c r="J41" s="331"/>
      <c r="K41" s="331"/>
    </row>
    <row r="42" spans="2:11" ht="17" customHeight="1">
      <c r="B42" s="194" t="s">
        <v>655</v>
      </c>
      <c r="C42" s="268">
        <f t="shared" ref="C42:K42" si="8">C24+C25+C29</f>
        <v>124719</v>
      </c>
      <c r="D42" s="268">
        <f t="shared" si="8"/>
        <v>120069</v>
      </c>
      <c r="E42" s="268">
        <f t="shared" si="8"/>
        <v>111088</v>
      </c>
      <c r="F42" s="268">
        <f t="shared" si="8"/>
        <v>106629</v>
      </c>
      <c r="G42" s="268">
        <f t="shared" si="8"/>
        <v>84373</v>
      </c>
      <c r="H42" s="268">
        <f t="shared" si="8"/>
        <v>57500</v>
      </c>
      <c r="I42" s="268">
        <f t="shared" si="8"/>
        <v>46700</v>
      </c>
      <c r="J42" s="268">
        <f t="shared" si="8"/>
        <v>35500</v>
      </c>
      <c r="K42" s="268">
        <f t="shared" si="8"/>
        <v>35500</v>
      </c>
    </row>
    <row r="43" spans="2:11">
      <c r="B43" s="194" t="s">
        <v>656</v>
      </c>
      <c r="C43" s="268">
        <f t="shared" ref="C43:K43" si="9">C42-C5-C6-C15</f>
        <v>-65797</v>
      </c>
      <c r="D43" s="268">
        <f t="shared" si="9"/>
        <v>-49040</v>
      </c>
      <c r="E43" s="268">
        <f t="shared" si="9"/>
        <v>-51011</v>
      </c>
      <c r="F43" s="268">
        <f t="shared" si="9"/>
        <v>-50021</v>
      </c>
      <c r="G43" s="268">
        <f t="shared" si="9"/>
        <v>-48047</v>
      </c>
      <c r="H43" s="268">
        <f t="shared" si="9"/>
        <v>-36572.654720307211</v>
      </c>
      <c r="I43" s="268">
        <f t="shared" si="9"/>
        <v>-46935.95042892627</v>
      </c>
      <c r="J43" s="269">
        <f t="shared" si="9"/>
        <v>-38024.93680490143</v>
      </c>
      <c r="K43" s="269">
        <f t="shared" si="9"/>
        <v>-26659.792083790322</v>
      </c>
    </row>
    <row r="44" spans="2:11">
      <c r="B44" s="194" t="s">
        <v>657</v>
      </c>
      <c r="C44" s="268">
        <f t="shared" ref="C44:K44" si="10">C11-C26</f>
        <v>9355</v>
      </c>
      <c r="D44" s="268">
        <f t="shared" si="10"/>
        <v>-18577</v>
      </c>
      <c r="E44" s="268">
        <f t="shared" si="10"/>
        <v>-1742</v>
      </c>
      <c r="F44" s="268">
        <f t="shared" si="10"/>
        <v>-23405</v>
      </c>
      <c r="G44" s="268">
        <f t="shared" si="10"/>
        <v>-17674</v>
      </c>
      <c r="H44" s="268">
        <f t="shared" si="10"/>
        <v>-45445.933606357226</v>
      </c>
      <c r="I44" s="268">
        <f t="shared" si="10"/>
        <v>-84951.727788226242</v>
      </c>
      <c r="J44" s="269">
        <f t="shared" si="10"/>
        <v>-110803.03926093475</v>
      </c>
      <c r="K44" s="269">
        <f t="shared" si="10"/>
        <v>-130710.58759904455</v>
      </c>
    </row>
    <row r="45" spans="2:11">
      <c r="B45" s="194" t="s">
        <v>658</v>
      </c>
      <c r="C45" s="270">
        <f t="shared" ref="C45:K45" si="11">C11/C26</f>
        <v>1.0745531195957954</v>
      </c>
      <c r="D45" s="270">
        <f t="shared" si="11"/>
        <v>0.87935602862672257</v>
      </c>
      <c r="E45" s="270">
        <f t="shared" si="11"/>
        <v>0.98801167175929749</v>
      </c>
      <c r="F45" s="270">
        <f t="shared" si="11"/>
        <v>0.86731257653408322</v>
      </c>
      <c r="G45" s="270">
        <f t="shared" si="11"/>
        <v>0.89329292221866674</v>
      </c>
      <c r="H45" s="270">
        <f t="shared" si="11"/>
        <v>0.70384882120223524</v>
      </c>
      <c r="I45" s="270">
        <f t="shared" si="11"/>
        <v>0.48615789033724227</v>
      </c>
      <c r="J45" s="271">
        <f t="shared" si="11"/>
        <v>0.37756678907868257</v>
      </c>
      <c r="K45" s="271">
        <f t="shared" si="11"/>
        <v>0.32365377917359761</v>
      </c>
    </row>
    <row r="46" spans="2:11">
      <c r="B46" s="194" t="s">
        <v>659</v>
      </c>
      <c r="C46" s="270">
        <f t="shared" ref="C46:K46" si="12">(C11-C8)/C26</f>
        <v>1.0221149018576519</v>
      </c>
      <c r="D46" s="270">
        <f t="shared" si="12"/>
        <v>0.84723539114961488</v>
      </c>
      <c r="E46" s="270">
        <f t="shared" si="12"/>
        <v>0.94444215046659508</v>
      </c>
      <c r="F46" s="270">
        <f t="shared" si="12"/>
        <v>0.82600684838314664</v>
      </c>
      <c r="G46" s="270">
        <f t="shared" si="12"/>
        <v>0.85877039926100796</v>
      </c>
      <c r="H46" s="270">
        <f t="shared" si="12"/>
        <v>0.66434989322935156</v>
      </c>
      <c r="I46" s="270">
        <f t="shared" si="12"/>
        <v>0.44688971637738445</v>
      </c>
      <c r="J46" s="271">
        <f t="shared" si="12"/>
        <v>0.33848163180219737</v>
      </c>
      <c r="K46" s="271">
        <f t="shared" si="12"/>
        <v>0.28504366877282211</v>
      </c>
    </row>
    <row r="47" spans="2:11">
      <c r="B47" s="194" t="s">
        <v>343</v>
      </c>
      <c r="C47" s="270">
        <f t="shared" ref="C47:K47" si="13">C42/C38</f>
        <v>1.9768426058012363</v>
      </c>
      <c r="D47" s="270">
        <f t="shared" si="13"/>
        <v>2.3695334701610355</v>
      </c>
      <c r="E47" s="270">
        <f t="shared" si="13"/>
        <v>1.7875325845589418</v>
      </c>
      <c r="F47" s="270">
        <f t="shared" si="13"/>
        <v>1.8723266022827041</v>
      </c>
      <c r="G47" s="270">
        <f t="shared" si="13"/>
        <v>1.1443044498392849</v>
      </c>
      <c r="H47" s="270">
        <f t="shared" si="13"/>
        <v>0.72202992139766342</v>
      </c>
      <c r="I47" s="270">
        <f t="shared" si="13"/>
        <v>0.52475915159944342</v>
      </c>
      <c r="J47" s="271">
        <f t="shared" si="13"/>
        <v>0.45487186995029566</v>
      </c>
      <c r="K47" s="271">
        <f t="shared" si="13"/>
        <v>0.62926971191353598</v>
      </c>
    </row>
  </sheetData>
  <mergeCells count="7">
    <mergeCell ref="B41:K41"/>
    <mergeCell ref="B1:K1"/>
    <mergeCell ref="B4:K4"/>
    <mergeCell ref="B13:K13"/>
    <mergeCell ref="B20:K20"/>
    <mergeCell ref="B28:K28"/>
    <mergeCell ref="B34:K34"/>
  </mergeCells>
  <pageMargins left="0.25" right="0.25" top="0.4" bottom="0.4" header="0.511811023622047" footer="0.511811023622047"/>
  <pageSetup paperSize="9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1E3"/>
    <pageSetUpPr fitToPage="1"/>
  </sheetPr>
  <dimension ref="A1:J38"/>
  <sheetViews>
    <sheetView showGridLines="0" topLeftCell="A11" zoomScaleNormal="100" workbookViewId="0">
      <selection activeCell="G32" sqref="G32"/>
    </sheetView>
  </sheetViews>
  <sheetFormatPr defaultColWidth="8.6328125" defaultRowHeight="14.5"/>
  <cols>
    <col min="1" max="1" width="42" customWidth="1"/>
    <col min="2" max="9" width="13" customWidth="1"/>
    <col min="10" max="10" width="9.08984375" bestFit="1" customWidth="1"/>
  </cols>
  <sheetData>
    <row r="1" spans="1:10" ht="31.5" customHeight="1">
      <c r="A1" s="318" t="s">
        <v>746</v>
      </c>
      <c r="B1" s="318"/>
      <c r="C1" s="318"/>
      <c r="D1" s="318"/>
      <c r="E1" s="318"/>
      <c r="F1" s="318"/>
      <c r="G1" s="318"/>
      <c r="H1" s="318"/>
      <c r="I1" s="318"/>
      <c r="J1" s="318"/>
    </row>
    <row r="2" spans="1:10" ht="19.5" customHeight="1">
      <c r="A2" s="330" t="s">
        <v>316</v>
      </c>
      <c r="B2" s="330"/>
      <c r="C2" s="330"/>
      <c r="D2" s="330"/>
      <c r="E2" s="330"/>
      <c r="F2" s="330"/>
      <c r="G2" s="330"/>
      <c r="H2" s="330"/>
      <c r="I2" s="330"/>
      <c r="J2" s="330"/>
    </row>
    <row r="3" spans="1:10" ht="6" customHeight="1">
      <c r="A3" s="47"/>
      <c r="B3" s="47"/>
      <c r="C3" s="47"/>
      <c r="D3" s="47"/>
      <c r="E3" s="47"/>
      <c r="F3" s="47"/>
      <c r="G3" s="47"/>
      <c r="H3" s="47"/>
      <c r="I3" s="47"/>
      <c r="J3" s="47"/>
    </row>
    <row r="4" spans="1:10" ht="15" customHeight="1" thickBot="1">
      <c r="A4" s="99" t="s">
        <v>237</v>
      </c>
      <c r="B4" s="100" t="s">
        <v>32</v>
      </c>
      <c r="C4" s="100" t="s">
        <v>33</v>
      </c>
      <c r="D4" s="100" t="s">
        <v>34</v>
      </c>
      <c r="E4" s="100" t="s">
        <v>35</v>
      </c>
      <c r="F4" s="100" t="s">
        <v>36</v>
      </c>
      <c r="G4" s="101" t="s">
        <v>37</v>
      </c>
      <c r="H4" s="101" t="s">
        <v>38</v>
      </c>
      <c r="I4" s="101" t="s">
        <v>39</v>
      </c>
      <c r="J4" s="101" t="s">
        <v>674</v>
      </c>
    </row>
    <row r="5" spans="1:10" ht="15" customHeight="1">
      <c r="B5" s="102" t="s">
        <v>54</v>
      </c>
      <c r="C5" s="102" t="s">
        <v>55</v>
      </c>
      <c r="D5" s="102" t="s">
        <v>56</v>
      </c>
      <c r="E5" s="102" t="s">
        <v>57</v>
      </c>
      <c r="F5" s="102" t="s">
        <v>58</v>
      </c>
      <c r="G5" s="102" t="s">
        <v>59</v>
      </c>
      <c r="H5" s="102" t="s">
        <v>60</v>
      </c>
      <c r="I5" s="102" t="s">
        <v>61</v>
      </c>
      <c r="J5" s="102" t="s">
        <v>675</v>
      </c>
    </row>
    <row r="7" spans="1:10" ht="15" customHeight="1">
      <c r="A7" s="119" t="s">
        <v>317</v>
      </c>
      <c r="B7" s="217">
        <v>39789</v>
      </c>
      <c r="C7" s="218">
        <f t="shared" ref="C7:J7" si="0">B30</f>
        <v>35929</v>
      </c>
      <c r="D7" s="218">
        <f t="shared" si="0"/>
        <v>24977</v>
      </c>
      <c r="E7" s="218">
        <f t="shared" si="0"/>
        <v>30737</v>
      </c>
      <c r="F7" s="218">
        <f t="shared" si="0"/>
        <v>29943</v>
      </c>
      <c r="G7" s="109">
        <f t="shared" si="0"/>
        <v>35934</v>
      </c>
      <c r="H7" s="109">
        <f t="shared" si="0"/>
        <v>6473.360556974978</v>
      </c>
      <c r="I7" s="109">
        <f t="shared" si="0"/>
        <v>-28288.741597983899</v>
      </c>
      <c r="J7" s="109">
        <f t="shared" si="0"/>
        <v>-48888.058132895501</v>
      </c>
    </row>
    <row r="9" spans="1:10" ht="18" customHeight="1">
      <c r="A9" s="331" t="s">
        <v>318</v>
      </c>
      <c r="B9" s="331"/>
      <c r="C9" s="331"/>
      <c r="D9" s="331"/>
      <c r="E9" s="331"/>
      <c r="F9" s="331"/>
      <c r="G9" s="331"/>
      <c r="H9" s="331"/>
      <c r="I9" s="331"/>
      <c r="J9" s="331"/>
    </row>
    <row r="10" spans="1:10" ht="15" customHeight="1">
      <c r="A10" s="103" t="s">
        <v>86</v>
      </c>
      <c r="B10" s="108">
        <f>IS!B30</f>
        <v>11284</v>
      </c>
      <c r="C10" s="108">
        <f>IS!C30</f>
        <v>11104</v>
      </c>
      <c r="D10" s="108">
        <f>IS!D30</f>
        <v>11519</v>
      </c>
      <c r="E10" s="108">
        <f>IS!E30</f>
        <v>11445</v>
      </c>
      <c r="F10" s="108">
        <f>IS!F30</f>
        <v>11698</v>
      </c>
      <c r="G10" s="116">
        <f>Assumptions!G38</f>
        <v>11256.43075</v>
      </c>
      <c r="H10" s="116">
        <f>Assumptions!H38</f>
        <v>12191.543117500001</v>
      </c>
      <c r="I10" s="116">
        <f>Assumptions!I38</f>
        <v>13218.693844375004</v>
      </c>
      <c r="J10" s="116">
        <f>Assumptions!J38</f>
        <v>14348.381389645756</v>
      </c>
    </row>
    <row r="11" spans="1:10" ht="15" customHeight="1">
      <c r="A11" s="103" t="s">
        <v>319</v>
      </c>
      <c r="B11" s="105">
        <f>IS!B38</f>
        <v>94680</v>
      </c>
      <c r="C11" s="105">
        <f>IS!C38</f>
        <v>99803</v>
      </c>
      <c r="D11" s="105">
        <f>IS!D38</f>
        <v>96995</v>
      </c>
      <c r="E11" s="105">
        <f>IS!E38</f>
        <v>93736</v>
      </c>
      <c r="F11" s="105">
        <f>IS!F38</f>
        <v>112010</v>
      </c>
      <c r="G11" s="116">
        <f>IS!G38</f>
        <v>143387.04304049999</v>
      </c>
      <c r="H11" s="116">
        <f>IS!H38</f>
        <v>159930.25029604504</v>
      </c>
      <c r="I11" s="116">
        <f>IS!I38</f>
        <v>178465.21504297131</v>
      </c>
      <c r="J11" s="116">
        <f>IS!J38</f>
        <v>199246.69211530525</v>
      </c>
    </row>
    <row r="12" spans="1:10" ht="15" customHeight="1">
      <c r="A12" s="103" t="s">
        <v>87</v>
      </c>
      <c r="B12" s="217">
        <v>7906</v>
      </c>
      <c r="C12" s="217">
        <v>9038</v>
      </c>
      <c r="D12" s="217">
        <v>10833</v>
      </c>
      <c r="E12" s="217">
        <v>11688</v>
      </c>
      <c r="F12" s="217">
        <v>12863</v>
      </c>
      <c r="G12" s="213">
        <f>Assumptions!G32*IS!G14</f>
        <v>13957.974129999999</v>
      </c>
      <c r="H12" s="213">
        <f>Assumptions!H32*IS!H14</f>
        <v>15117.5134657</v>
      </c>
      <c r="I12" s="213">
        <f>Assumptions!I32*IS!I14</f>
        <v>16391.180367025005</v>
      </c>
      <c r="J12" s="213">
        <f>Assumptions!J32*IS!J14</f>
        <v>17791.992923160735</v>
      </c>
    </row>
    <row r="13" spans="1:10" ht="15" customHeight="1">
      <c r="A13" s="103" t="s">
        <v>320</v>
      </c>
      <c r="B13" s="217">
        <v>-9832</v>
      </c>
      <c r="C13" s="217">
        <v>2206</v>
      </c>
      <c r="D13" s="217">
        <v>-8804</v>
      </c>
      <c r="E13" s="217">
        <v>1385</v>
      </c>
      <c r="F13" s="217">
        <v>-25089</v>
      </c>
      <c r="G13" s="213">
        <f>-(BS!G7-BS!F7)-(BS!G8-BS!F8)-(BS!G9-BS!F9)-(BS!G10-BS!F10)+(BS!G21-BS!F21)+(BS!G22-BS!F22)+(BS!G23-BS!F23)-(BS!G16-BS!F16)+(BS!G30-BS!F30)</f>
        <v>-14603</v>
      </c>
      <c r="H13" s="213">
        <f>-(BS!H7-BS!G7)-(BS!H8-BS!G8)-(BS!H9-BS!G9)-(BS!H10-BS!G10)+(BS!H21-BS!G21)+(BS!H22-BS!G22)+(BS!H23-BS!G23)-(BS!H16-BS!G16)+(BS!H30-BS!G30)</f>
        <v>-18728.705836667817</v>
      </c>
      <c r="I13" s="213">
        <f>-(BS!I7-BS!H7)-(BS!I8-BS!H8)-(BS!I9-BS!H9)-(BS!I10-BS!H10)+(BS!I21-BS!H21)+(BS!I22-BS!H22)+(BS!I23-BS!H23)-(BS!I16-BS!H16)+(BS!I30-BS!H30)</f>
        <v>-456.30797308982073</v>
      </c>
      <c r="J13" s="213">
        <f>-(BS!K7-BS!J7)-(BS!K8-BS!J8)-(BS!K9-BS!J9)-(BS!K10-BS!J10)+(BS!K21-BS!J21)+(BS!K22-BS!J22)+(BS!K23-BS!J23)-(BS!K16-BS!J16)+(BS!K30-BS!J30)</f>
        <v>8542.4036169987012</v>
      </c>
    </row>
    <row r="14" spans="1:10" ht="15" customHeight="1">
      <c r="A14" s="110" t="s">
        <v>321</v>
      </c>
      <c r="B14" s="111">
        <f t="shared" ref="B14:I14" si="1">B10+B11+B12+B13</f>
        <v>104038</v>
      </c>
      <c r="C14" s="111">
        <f t="shared" si="1"/>
        <v>122151</v>
      </c>
      <c r="D14" s="111">
        <f t="shared" si="1"/>
        <v>110543</v>
      </c>
      <c r="E14" s="111">
        <f t="shared" si="1"/>
        <v>118254</v>
      </c>
      <c r="F14" s="111">
        <f t="shared" si="1"/>
        <v>111482</v>
      </c>
      <c r="G14" s="112">
        <f t="shared" si="1"/>
        <v>153998.44792049998</v>
      </c>
      <c r="H14" s="112">
        <f t="shared" si="1"/>
        <v>168510.60104257721</v>
      </c>
      <c r="I14" s="112">
        <f t="shared" si="1"/>
        <v>207618.78128128147</v>
      </c>
      <c r="J14" s="112">
        <f>J10+J11+J12+J13</f>
        <v>239929.47004511041</v>
      </c>
    </row>
    <row r="16" spans="1:10" ht="18" customHeight="1">
      <c r="A16" s="331" t="s">
        <v>322</v>
      </c>
      <c r="B16" s="331"/>
      <c r="C16" s="331"/>
      <c r="D16" s="331"/>
      <c r="E16" s="331"/>
      <c r="F16" s="331"/>
      <c r="G16" s="331"/>
      <c r="H16" s="331"/>
      <c r="I16" s="331"/>
      <c r="J16" s="331"/>
    </row>
    <row r="17" spans="1:10" ht="15" customHeight="1">
      <c r="A17" s="110" t="s">
        <v>323</v>
      </c>
      <c r="B17" s="111">
        <f t="shared" ref="B17:I17" si="2">B19+B20</f>
        <v>-14545</v>
      </c>
      <c r="C17" s="111">
        <f t="shared" si="2"/>
        <v>-22354</v>
      </c>
      <c r="D17" s="111">
        <f>D19+D20</f>
        <v>3705</v>
      </c>
      <c r="E17" s="111">
        <f t="shared" si="2"/>
        <v>2935</v>
      </c>
      <c r="F17" s="111">
        <f t="shared" si="2"/>
        <v>15195</v>
      </c>
      <c r="G17" s="112">
        <f t="shared" si="2"/>
        <v>-9905.6590599999981</v>
      </c>
      <c r="H17" s="112">
        <f t="shared" si="2"/>
        <v>-10728.557943399999</v>
      </c>
      <c r="I17" s="112">
        <f t="shared" si="2"/>
        <v>-11632.450583050002</v>
      </c>
      <c r="J17" s="131">
        <f>J19+J20</f>
        <v>-12626.575622888264</v>
      </c>
    </row>
    <row r="19" spans="1:10" ht="15" customHeight="1">
      <c r="A19" s="103" t="s">
        <v>46</v>
      </c>
      <c r="B19" s="217">
        <v>-11085</v>
      </c>
      <c r="C19" s="217">
        <v>-10708</v>
      </c>
      <c r="D19" s="217">
        <v>-10959</v>
      </c>
      <c r="E19" s="217">
        <v>-9447</v>
      </c>
      <c r="F19" s="217">
        <v>-12715</v>
      </c>
      <c r="G19" s="109">
        <f>-Assumptions!G37*IS!G14</f>
        <v>-9905.6590599999981</v>
      </c>
      <c r="H19" s="109">
        <f>-Assumptions!H37*IS!H14</f>
        <v>-10728.557943399999</v>
      </c>
      <c r="I19" s="109">
        <f>-Assumptions!I37*IS!I14</f>
        <v>-11632.450583050002</v>
      </c>
      <c r="J19" s="109">
        <f>-Assumptions!J37*IS!J14</f>
        <v>-12626.575622888264</v>
      </c>
    </row>
    <row r="20" spans="1:10" ht="15" customHeight="1">
      <c r="A20" s="103" t="s">
        <v>88</v>
      </c>
      <c r="B20" s="217">
        <v>-3460</v>
      </c>
      <c r="C20" s="217">
        <v>-11646</v>
      </c>
      <c r="D20" s="217">
        <v>14664</v>
      </c>
      <c r="E20" s="217">
        <v>12382</v>
      </c>
      <c r="F20" s="217">
        <v>27910</v>
      </c>
      <c r="G20" s="216">
        <v>0</v>
      </c>
      <c r="H20" s="216">
        <v>0</v>
      </c>
      <c r="I20" s="216">
        <v>0</v>
      </c>
      <c r="J20" s="216">
        <v>0</v>
      </c>
    </row>
    <row r="21" spans="1:10" ht="15" customHeight="1">
      <c r="A21" s="99" t="s">
        <v>324</v>
      </c>
      <c r="B21" s="120">
        <f t="shared" ref="B21:I21" si="3">B14+B19</f>
        <v>92953</v>
      </c>
      <c r="C21" s="120">
        <f t="shared" si="3"/>
        <v>111443</v>
      </c>
      <c r="D21" s="120">
        <f t="shared" si="3"/>
        <v>99584</v>
      </c>
      <c r="E21" s="120">
        <f t="shared" si="3"/>
        <v>108807</v>
      </c>
      <c r="F21" s="120">
        <f t="shared" si="3"/>
        <v>98767</v>
      </c>
      <c r="G21" s="121">
        <f t="shared" si="3"/>
        <v>144092.78886049998</v>
      </c>
      <c r="H21" s="121">
        <f t="shared" si="3"/>
        <v>157782.04309917722</v>
      </c>
      <c r="I21" s="121">
        <f t="shared" si="3"/>
        <v>195986.33069823147</v>
      </c>
      <c r="J21" s="121">
        <f>J14+J19</f>
        <v>227302.89442222216</v>
      </c>
    </row>
    <row r="23" spans="1:10" ht="18" customHeight="1">
      <c r="A23" s="331" t="s">
        <v>325</v>
      </c>
      <c r="B23" s="331"/>
      <c r="C23" s="331"/>
      <c r="D23" s="331"/>
      <c r="E23" s="331"/>
      <c r="F23" s="331"/>
      <c r="G23" s="331"/>
      <c r="H23" s="331"/>
      <c r="I23" s="331"/>
      <c r="J23" s="331"/>
    </row>
    <row r="24" spans="1:10" ht="15" customHeight="1">
      <c r="A24" s="103" t="s">
        <v>49</v>
      </c>
      <c r="B24" s="217">
        <v>-14467</v>
      </c>
      <c r="C24" s="217">
        <v>-14841</v>
      </c>
      <c r="D24" s="217">
        <v>-15025</v>
      </c>
      <c r="E24" s="217">
        <v>-15234</v>
      </c>
      <c r="F24" s="217">
        <v>-15421</v>
      </c>
      <c r="G24" s="109">
        <f>-Assumptions!G42*Assumptions!G41*G21</f>
        <v>-18155.691396422997</v>
      </c>
      <c r="H24" s="109">
        <f>-Assumptions!H42*Assumptions!H41*H21</f>
        <v>-19880.53743049633</v>
      </c>
      <c r="I24" s="109">
        <f>-Assumptions!I42*Assumptions!I41*I21</f>
        <v>-24694.277667977167</v>
      </c>
      <c r="J24" s="109">
        <f>-Assumptions!J42*Assumptions!J41*J21</f>
        <v>-28640.164697199991</v>
      </c>
    </row>
    <row r="25" spans="1:10" ht="15" customHeight="1">
      <c r="A25" s="103" t="s">
        <v>50</v>
      </c>
      <c r="B25" s="217">
        <v>-85971</v>
      </c>
      <c r="C25" s="217">
        <v>-89402</v>
      </c>
      <c r="D25" s="217">
        <v>-77550</v>
      </c>
      <c r="E25" s="217">
        <v>-94949</v>
      </c>
      <c r="F25" s="217">
        <v>-90711</v>
      </c>
      <c r="G25" s="109">
        <f>-(1-Assumptions!G42)*Assumptions!G41*G21</f>
        <v>-133141.73690710199</v>
      </c>
      <c r="H25" s="109">
        <f>-(1-Assumptions!H42)*Assumptions!H41*H21</f>
        <v>-145790.60782363976</v>
      </c>
      <c r="I25" s="109">
        <f>-(1-Assumptions!I42)*Assumptions!I41*I21</f>
        <v>-181091.36956516589</v>
      </c>
      <c r="J25" s="109">
        <f>-(1-Assumptions!J42)*Assumptions!J41*J21</f>
        <v>-210027.8744461333</v>
      </c>
    </row>
    <row r="26" spans="1:10" ht="15" customHeight="1">
      <c r="A26" s="103" t="s">
        <v>326</v>
      </c>
      <c r="B26" s="217">
        <v>7085</v>
      </c>
      <c r="C26" s="217">
        <v>-6506</v>
      </c>
      <c r="D26" s="217">
        <v>-15913</v>
      </c>
      <c r="E26" s="217">
        <v>-11800</v>
      </c>
      <c r="F26" s="217">
        <v>-14554</v>
      </c>
      <c r="G26" s="213">
        <f>(BS!G24-BS!F24)+(BS!G25-BS!F25)+(BS!G29-BS!F29)</f>
        <v>-22256</v>
      </c>
      <c r="H26" s="213">
        <f>(BS!H24-BS!G24)+(BS!H25-BS!G25)+(BS!H29-BS!G29)</f>
        <v>-26873</v>
      </c>
      <c r="I26" s="213">
        <f>(BS!I24-BS!H24)+(BS!I25-BS!H25)+(BS!I29-BS!H29)</f>
        <v>-10800</v>
      </c>
      <c r="J26" s="213">
        <f>(BS!K24-BS!J24)+(BS!K25-BS!J25)+(BS!K29-BS!J29)</f>
        <v>0</v>
      </c>
    </row>
    <row r="27" spans="1:10" ht="15" customHeight="1">
      <c r="A27" s="110" t="s">
        <v>327</v>
      </c>
      <c r="B27" s="111">
        <f t="shared" ref="B27:I27" si="4">SUM(B24:B26)</f>
        <v>-93353</v>
      </c>
      <c r="C27" s="111">
        <f t="shared" si="4"/>
        <v>-110749</v>
      </c>
      <c r="D27" s="111">
        <f t="shared" si="4"/>
        <v>-108488</v>
      </c>
      <c r="E27" s="111">
        <f t="shared" si="4"/>
        <v>-121983</v>
      </c>
      <c r="F27" s="111">
        <f t="shared" si="4"/>
        <v>-120686</v>
      </c>
      <c r="G27" s="112">
        <f t="shared" si="4"/>
        <v>-173553.428303525</v>
      </c>
      <c r="H27" s="112">
        <f t="shared" si="4"/>
        <v>-192544.14525413609</v>
      </c>
      <c r="I27" s="112">
        <f t="shared" si="4"/>
        <v>-216585.64723314307</v>
      </c>
      <c r="J27" s="112">
        <f>SUM(J24:J26)</f>
        <v>-238668.0391433333</v>
      </c>
    </row>
    <row r="29" spans="1:10" ht="15" customHeight="1">
      <c r="A29" s="110" t="s">
        <v>216</v>
      </c>
      <c r="B29" s="111">
        <f t="shared" ref="B29:I29" si="5">B14+B17+B27</f>
        <v>-3860</v>
      </c>
      <c r="C29" s="111">
        <f t="shared" si="5"/>
        <v>-10952</v>
      </c>
      <c r="D29" s="111">
        <f t="shared" si="5"/>
        <v>5760</v>
      </c>
      <c r="E29" s="111">
        <f t="shared" si="5"/>
        <v>-794</v>
      </c>
      <c r="F29" s="111">
        <f t="shared" si="5"/>
        <v>5991</v>
      </c>
      <c r="G29" s="112">
        <f t="shared" si="5"/>
        <v>-29460.639443025022</v>
      </c>
      <c r="H29" s="112">
        <f t="shared" si="5"/>
        <v>-34762.102154958877</v>
      </c>
      <c r="I29" s="112">
        <f t="shared" si="5"/>
        <v>-20599.316534911603</v>
      </c>
      <c r="J29" s="112">
        <f>J14+J17+J27</f>
        <v>-11365.144721111137</v>
      </c>
    </row>
    <row r="30" spans="1:10" ht="15" customHeight="1" thickBot="1">
      <c r="A30" s="87" t="s">
        <v>328</v>
      </c>
      <c r="B30" s="117">
        <f t="shared" ref="B30:I30" si="6">B7+B29</f>
        <v>35929</v>
      </c>
      <c r="C30" s="117">
        <f t="shared" si="6"/>
        <v>24977</v>
      </c>
      <c r="D30" s="117">
        <f t="shared" si="6"/>
        <v>30737</v>
      </c>
      <c r="E30" s="117">
        <f t="shared" si="6"/>
        <v>29943</v>
      </c>
      <c r="F30" s="117">
        <f t="shared" si="6"/>
        <v>35934</v>
      </c>
      <c r="G30" s="118">
        <f t="shared" si="6"/>
        <v>6473.360556974978</v>
      </c>
      <c r="H30" s="118">
        <f t="shared" si="6"/>
        <v>-28288.741597983899</v>
      </c>
      <c r="I30" s="118">
        <f t="shared" si="6"/>
        <v>-48888.058132895501</v>
      </c>
      <c r="J30" s="118">
        <f>J7+J29</f>
        <v>-60253.202854006639</v>
      </c>
    </row>
    <row r="31" spans="1:10" ht="15" thickTop="1">
      <c r="D31" t="s">
        <v>667</v>
      </c>
    </row>
    <row r="32" spans="1:10" ht="15" customHeight="1"/>
    <row r="33" spans="1:10">
      <c r="A33" s="219" t="s">
        <v>664</v>
      </c>
      <c r="B33" s="220"/>
      <c r="C33" s="220"/>
      <c r="D33" s="220"/>
      <c r="E33" s="220"/>
      <c r="F33" s="220"/>
      <c r="G33" s="220"/>
      <c r="H33" s="220"/>
      <c r="I33" s="220"/>
      <c r="J33" s="220"/>
    </row>
    <row r="34" spans="1:10">
      <c r="A34" s="221" t="s">
        <v>589</v>
      </c>
      <c r="B34" s="223">
        <f t="shared" ref="B34:J34" si="7">B14+B19</f>
        <v>92953</v>
      </c>
      <c r="C34" s="223">
        <f t="shared" si="7"/>
        <v>111443</v>
      </c>
      <c r="D34" s="223">
        <f t="shared" si="7"/>
        <v>99584</v>
      </c>
      <c r="E34" s="223">
        <f t="shared" si="7"/>
        <v>108807</v>
      </c>
      <c r="F34" s="223">
        <f t="shared" si="7"/>
        <v>98767</v>
      </c>
      <c r="G34" s="223">
        <f t="shared" si="7"/>
        <v>144092.78886049998</v>
      </c>
      <c r="H34" s="223">
        <f t="shared" si="7"/>
        <v>157782.04309917722</v>
      </c>
      <c r="I34" s="223">
        <f t="shared" si="7"/>
        <v>195986.33069823147</v>
      </c>
      <c r="J34" s="223">
        <f t="shared" si="7"/>
        <v>227302.89442222216</v>
      </c>
    </row>
    <row r="35" spans="1:10">
      <c r="A35" s="224" t="s">
        <v>665</v>
      </c>
      <c r="B35" s="225">
        <f>B34/IS!B14</f>
        <v>0.25409699385211731</v>
      </c>
      <c r="C35" s="225">
        <f>C34/IS!C14</f>
        <v>0.28261498042238947</v>
      </c>
      <c r="D35" s="225">
        <f>D34/IS!D14</f>
        <v>0.25981710737440805</v>
      </c>
      <c r="E35" s="225">
        <f>E34/IS!E14</f>
        <v>0.27825386474356517</v>
      </c>
      <c r="F35" s="225">
        <f>F34/IS!F14</f>
        <v>0.23732882225869315</v>
      </c>
      <c r="G35" s="225">
        <f>G34/IS!G14</f>
        <v>0.32002326505784257</v>
      </c>
      <c r="H35" s="225">
        <f>H34/IS!H14</f>
        <v>0.32354813820223771</v>
      </c>
      <c r="I35" s="225">
        <f>I34/IS!I14</f>
        <v>0.37066130172465983</v>
      </c>
      <c r="J35" s="225">
        <f>J34/IS!J14</f>
        <v>0.39604274560587566</v>
      </c>
    </row>
    <row r="36" spans="1:10">
      <c r="A36" s="224" t="s">
        <v>666</v>
      </c>
      <c r="B36" s="225">
        <f>-B19/IS!B14</f>
        <v>3.0302036264033657E-2</v>
      </c>
      <c r="C36" s="225">
        <f>-C19/IS!C14</f>
        <v>2.7155058732831552E-2</v>
      </c>
      <c r="D36" s="225">
        <f>-D19/IS!D14</f>
        <v>2.859230076835775E-2</v>
      </c>
      <c r="E36" s="225">
        <f>-E19/IS!E14</f>
        <v>2.415896275269477E-2</v>
      </c>
      <c r="F36" s="225">
        <f>-F19/IS!F14</f>
        <v>3.0553079216937677E-2</v>
      </c>
      <c r="G36" s="225">
        <f>-G19/IS!G14</f>
        <v>2.1999999999999995E-2</v>
      </c>
      <c r="H36" s="225">
        <f>-H19/IS!H14</f>
        <v>2.1999999999999999E-2</v>
      </c>
      <c r="I36" s="225">
        <f>-I19/IS!I14</f>
        <v>2.1999999999999999E-2</v>
      </c>
      <c r="J36" s="225">
        <f>-J19/IS!J14</f>
        <v>2.1999999999999999E-2</v>
      </c>
    </row>
    <row r="38" spans="1:10">
      <c r="A38" s="226" t="s">
        <v>530</v>
      </c>
    </row>
  </sheetData>
  <mergeCells count="5">
    <mergeCell ref="A1:J1"/>
    <mergeCell ref="A2:J2"/>
    <mergeCell ref="A9:J9"/>
    <mergeCell ref="A16:J16"/>
    <mergeCell ref="A23:J23"/>
  </mergeCells>
  <phoneticPr fontId="113" type="noConversion"/>
  <pageMargins left="0.25" right="0.25" top="0.4" bottom="0.4" header="0.511811023622047" footer="0.511811023622047"/>
  <pageSetup paperSize="9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1E3"/>
    <pageSetUpPr fitToPage="1"/>
  </sheetPr>
  <dimension ref="A1:J33"/>
  <sheetViews>
    <sheetView showGridLines="0" zoomScaleNormal="100" workbookViewId="0">
      <selection activeCell="A24" sqref="A24"/>
    </sheetView>
  </sheetViews>
  <sheetFormatPr defaultColWidth="8.6328125" defaultRowHeight="14.5"/>
  <cols>
    <col min="1" max="1" width="42" customWidth="1"/>
    <col min="2" max="9" width="13" customWidth="1"/>
  </cols>
  <sheetData>
    <row r="1" spans="1:10" ht="31.5" customHeight="1">
      <c r="A1" s="318" t="s">
        <v>329</v>
      </c>
      <c r="B1" s="318"/>
      <c r="C1" s="318"/>
      <c r="D1" s="318"/>
      <c r="E1" s="318"/>
      <c r="F1" s="318"/>
      <c r="G1" s="318"/>
      <c r="H1" s="318"/>
      <c r="I1" s="318"/>
      <c r="J1" s="318"/>
    </row>
    <row r="2" spans="1:10" ht="19.5" customHeight="1">
      <c r="A2" s="330" t="s">
        <v>330</v>
      </c>
      <c r="B2" s="330"/>
      <c r="C2" s="330"/>
      <c r="D2" s="330"/>
      <c r="E2" s="330"/>
      <c r="F2" s="330"/>
      <c r="G2" s="330"/>
      <c r="H2" s="330"/>
      <c r="I2" s="330"/>
      <c r="J2" s="330"/>
    </row>
    <row r="3" spans="1:10" ht="6" customHeight="1">
      <c r="A3" s="47"/>
      <c r="B3" s="47"/>
      <c r="C3" s="47"/>
      <c r="D3" s="47"/>
      <c r="E3" s="47"/>
      <c r="F3" s="47"/>
      <c r="G3" s="47"/>
      <c r="H3" s="47"/>
      <c r="I3" s="47"/>
      <c r="J3" s="47"/>
    </row>
    <row r="4" spans="1:10" ht="15" customHeight="1" thickBot="1">
      <c r="A4" s="99" t="s">
        <v>237</v>
      </c>
      <c r="B4" s="100" t="s">
        <v>32</v>
      </c>
      <c r="C4" s="100" t="s">
        <v>33</v>
      </c>
      <c r="D4" s="100" t="s">
        <v>34</v>
      </c>
      <c r="E4" s="100" t="s">
        <v>35</v>
      </c>
      <c r="F4" s="100" t="s">
        <v>36</v>
      </c>
      <c r="G4" s="101" t="s">
        <v>37</v>
      </c>
      <c r="H4" s="101" t="s">
        <v>38</v>
      </c>
      <c r="I4" s="101" t="s">
        <v>39</v>
      </c>
      <c r="J4" s="101" t="s">
        <v>674</v>
      </c>
    </row>
    <row r="6" spans="1:10" ht="18" customHeight="1">
      <c r="A6" s="331" t="s">
        <v>331</v>
      </c>
      <c r="B6" s="331"/>
      <c r="C6" s="331"/>
      <c r="D6" s="331"/>
      <c r="E6" s="331"/>
      <c r="F6" s="331"/>
      <c r="G6" s="331"/>
      <c r="H6" s="331"/>
      <c r="I6" s="331"/>
      <c r="J6" s="331"/>
    </row>
    <row r="7" spans="1:10" ht="15" customHeight="1">
      <c r="A7" s="103" t="s">
        <v>18</v>
      </c>
      <c r="B7" s="122">
        <f>IS!B21/IS!B14</f>
        <v>0.41779359625167778</v>
      </c>
      <c r="C7" s="122">
        <f>IS!C21/IS!C14</f>
        <v>0.43309630561360085</v>
      </c>
      <c r="D7" s="122">
        <f>IS!D21/IS!D14</f>
        <v>0.44131129577207562</v>
      </c>
      <c r="E7" s="122">
        <f>IS!E21/IS!E14</f>
        <v>0.46206349815233932</v>
      </c>
      <c r="F7" s="122">
        <f>IS!F21/IS!F14</f>
        <v>0.46905164107160452</v>
      </c>
      <c r="G7" s="123">
        <f>IS!G21/IS!G14</f>
        <v>0.50864085658324687</v>
      </c>
      <c r="H7" s="123">
        <f>IS!H21/IS!H14</f>
        <v>0.5140882236712887</v>
      </c>
      <c r="I7" s="123">
        <f>IS!I21/IS!I14</f>
        <v>0.51969721062457108</v>
      </c>
      <c r="J7" s="123">
        <f>IS!J21/IS!J14</f>
        <v>0.52546013336279696</v>
      </c>
    </row>
    <row r="8" spans="1:10" ht="15" customHeight="1">
      <c r="A8" s="103" t="s">
        <v>19</v>
      </c>
      <c r="B8" s="122">
        <f>IS!B28/IS!B14</f>
        <v>0.29782377527561593</v>
      </c>
      <c r="C8" s="122">
        <f>IS!C28/IS!C14</f>
        <v>0.30288744395528594</v>
      </c>
      <c r="D8" s="122">
        <f>IS!D28/IS!D14</f>
        <v>0.29821412265024722</v>
      </c>
      <c r="E8" s="122">
        <f>IS!E28/IS!E14</f>
        <v>0.31510222870075566</v>
      </c>
      <c r="F8" s="122">
        <f>IS!F28/IS!F14</f>
        <v>0.31970799762591884</v>
      </c>
      <c r="G8" s="123">
        <f>IS!G28/IS!G14</f>
        <v>0.36493071560450013</v>
      </c>
      <c r="H8" s="123">
        <f>IS!H28/IS!H14</f>
        <v>0.37593246428408905</v>
      </c>
      <c r="I8" s="123">
        <f>IS!I28/IS!I14</f>
        <v>0.38701333409532179</v>
      </c>
      <c r="J8" s="123">
        <f>IS!J28/IS!J14</f>
        <v>0.39816196010850741</v>
      </c>
    </row>
    <row r="9" spans="1:10" ht="15" customHeight="1">
      <c r="A9" s="103" t="s">
        <v>20</v>
      </c>
      <c r="B9" s="122">
        <f>IS!B38/IS!B14</f>
        <v>0.25881793355694238</v>
      </c>
      <c r="C9" s="122">
        <f>IS!C38/IS!C14</f>
        <v>0.25309640705199732</v>
      </c>
      <c r="D9" s="122">
        <f>IS!D38/IS!D14</f>
        <v>0.25306234264320282</v>
      </c>
      <c r="E9" s="122">
        <f>IS!E38/IS!E14</f>
        <v>0.23971255769943867</v>
      </c>
      <c r="F9" s="122">
        <f>IS!F38/IS!F14</f>
        <v>0.26915064121818238</v>
      </c>
      <c r="G9" s="123">
        <f>IS!G38/IS!G14</f>
        <v>0.31845583699011343</v>
      </c>
      <c r="H9" s="123">
        <f>IS!H38/IS!H14</f>
        <v>0.32795325570082623</v>
      </c>
      <c r="I9" s="123">
        <f>IS!I38/IS!I14</f>
        <v>0.33752429919336213</v>
      </c>
      <c r="J9" s="123">
        <f>IS!J38/IS!J14</f>
        <v>0.34715883050594115</v>
      </c>
    </row>
    <row r="10" spans="1:10" ht="15" customHeight="1">
      <c r="A10" s="103" t="s">
        <v>332</v>
      </c>
      <c r="B10" s="122">
        <f>(IS!B28+CFS!B10)/IS!B14</f>
        <v>0.32866979938056462</v>
      </c>
      <c r="C10" s="122">
        <f>(IS!C28+CFS!C10)/IS!C14</f>
        <v>0.3310467428130896</v>
      </c>
      <c r="D10" s="122">
        <f>(IS!D28+CFS!D10)/IS!D14</f>
        <v>0.32826747720364741</v>
      </c>
      <c r="E10" s="122">
        <f>(IS!E28+CFS!E10)/IS!E14</f>
        <v>0.34437070850435381</v>
      </c>
      <c r="F10" s="122">
        <f>(IS!F28+CFS!F10)/IS!F14</f>
        <v>0.34781731108873731</v>
      </c>
      <c r="G10" s="123">
        <f>(IS!G28+CFS!G10)/IS!G14</f>
        <v>0.38993071560450016</v>
      </c>
      <c r="H10" s="123">
        <f>(IS!H28+CFS!H10)/IS!H14</f>
        <v>0.40093246428408907</v>
      </c>
      <c r="I10" s="123">
        <f>(IS!I28+CFS!I10)/IS!I14</f>
        <v>0.41201333409532181</v>
      </c>
      <c r="J10" s="123">
        <f>(IS!J28+CFS!J10)/IS!J14</f>
        <v>0.42316196010850737</v>
      </c>
    </row>
    <row r="12" spans="1:10" ht="18" customHeight="1">
      <c r="A12" s="331" t="s">
        <v>333</v>
      </c>
      <c r="B12" s="331"/>
      <c r="C12" s="331"/>
      <c r="D12" s="331"/>
      <c r="E12" s="331"/>
      <c r="F12" s="331"/>
      <c r="G12" s="331"/>
      <c r="H12" s="331"/>
      <c r="I12" s="331"/>
      <c r="J12" s="331"/>
    </row>
    <row r="13" spans="1:10" ht="15" customHeight="1">
      <c r="A13" s="103" t="s">
        <v>334</v>
      </c>
      <c r="B13" s="124" t="s">
        <v>335</v>
      </c>
      <c r="C13" s="122">
        <f>IS!C14/IS!B14-1</f>
        <v>7.7937876041846099E-2</v>
      </c>
      <c r="D13" s="122">
        <f>IS!D14/IS!C14-1</f>
        <v>-2.800460530319937E-2</v>
      </c>
      <c r="E13" s="122">
        <f>IS!E14/IS!D14-1</f>
        <v>2.021994077514111E-2</v>
      </c>
      <c r="F13" s="122">
        <f>IS!F14/IS!E14-1</f>
        <v>6.425511782832749E-2</v>
      </c>
      <c r="G13" s="123">
        <f>IS!G14/IS!F14-1</f>
        <v>8.1930382712459782E-2</v>
      </c>
      <c r="H13" s="123">
        <f>IS!H14/IS!G14-1</f>
        <v>8.3073612610285119E-2</v>
      </c>
      <c r="I13" s="123">
        <f>IS!I14/IS!H14-1</f>
        <v>8.4251084294703293E-2</v>
      </c>
      <c r="J13" s="123">
        <f>IS!J14/IS!I14-1</f>
        <v>8.5461359387748681E-2</v>
      </c>
    </row>
    <row r="14" spans="1:10" ht="15" customHeight="1">
      <c r="A14" s="103" t="s">
        <v>336</v>
      </c>
      <c r="B14" s="124" t="s">
        <v>335</v>
      </c>
      <c r="C14" s="122">
        <f>IS!C28/IS!B28-1</f>
        <v>9.6265225013538513E-2</v>
      </c>
      <c r="D14" s="122">
        <f>IS!D28/IS!C28-1</f>
        <v>-4.3001749876503959E-2</v>
      </c>
      <c r="E14" s="122">
        <f>IS!E28/IS!D28-1</f>
        <v>7.7995818059334532E-2</v>
      </c>
      <c r="F14" s="122">
        <f>IS!F28/IS!E28-1</f>
        <v>7.9811063498246959E-2</v>
      </c>
      <c r="G14" s="123">
        <f>IS!G28/IS!F28-1</f>
        <v>0.23496950883126644</v>
      </c>
      <c r="H14" s="123">
        <f>IS!H28/IS!G28-1</f>
        <v>0.11572557414137918</v>
      </c>
      <c r="I14" s="123">
        <f>IS!I28/IS!H28-1</f>
        <v>0.11621013611704956</v>
      </c>
      <c r="J14" s="123">
        <f>IS!J28/IS!I28-1</f>
        <v>0.11673005656549873</v>
      </c>
    </row>
    <row r="15" spans="1:10" ht="15" customHeight="1">
      <c r="A15" s="103" t="s">
        <v>337</v>
      </c>
      <c r="B15" s="124" t="s">
        <v>335</v>
      </c>
      <c r="C15" s="122">
        <f>IS!C38/IS!B38-1</f>
        <v>5.410857625686516E-2</v>
      </c>
      <c r="D15" s="122">
        <f>IS!D38/IS!C38-1</f>
        <v>-2.8135426790777851E-2</v>
      </c>
      <c r="E15" s="122">
        <f>IS!E38/IS!D38-1</f>
        <v>-3.3599670086086886E-2</v>
      </c>
      <c r="F15" s="122">
        <f>IS!F38/IS!E38-1</f>
        <v>0.19495177946573361</v>
      </c>
      <c r="G15" s="123">
        <f>IS!G38/IS!F38-1</f>
        <v>0.28012715865101323</v>
      </c>
      <c r="H15" s="123">
        <f>IS!H38/IS!G38-1</f>
        <v>0.11537449203741779</v>
      </c>
      <c r="I15" s="123">
        <f>IS!I38/IS!H38-1</f>
        <v>0.11589405201715386</v>
      </c>
      <c r="J15" s="123">
        <f>IS!J38/IS!I38-1</f>
        <v>0.11644553291424398</v>
      </c>
    </row>
    <row r="17" spans="1:10" ht="18" customHeight="1">
      <c r="A17" s="331" t="s">
        <v>338</v>
      </c>
      <c r="B17" s="331"/>
      <c r="C17" s="331"/>
      <c r="D17" s="331"/>
      <c r="E17" s="331"/>
      <c r="F17" s="331"/>
      <c r="G17" s="331"/>
      <c r="H17" s="331"/>
      <c r="I17" s="331"/>
      <c r="J17" s="331"/>
    </row>
    <row r="18" spans="1:10" ht="15" customHeight="1">
      <c r="A18" s="103" t="s">
        <v>339</v>
      </c>
      <c r="B18" s="122">
        <f>IS!B38/BS!C18</f>
        <v>0.26974205275183616</v>
      </c>
      <c r="C18" s="122">
        <f>IS!C38/BS!D18</f>
        <v>0.28292440929256851</v>
      </c>
      <c r="D18" s="122">
        <f>IS!D38/BS!E18</f>
        <v>0.27509834563776475</v>
      </c>
      <c r="E18" s="122">
        <f>IS!E38/BS!F18</f>
        <v>0.25682503150857583</v>
      </c>
      <c r="F18" s="122">
        <f>IS!F38/BS!G18</f>
        <v>0.31179625933565491</v>
      </c>
      <c r="G18" s="123">
        <f>IS!G38/BS!H18</f>
        <v>0.44242728475859994</v>
      </c>
      <c r="H18" s="123">
        <f>IS!H38/BS!I18</f>
        <v>0.47837515177929057</v>
      </c>
      <c r="I18" s="123">
        <f>IS!I38/BS!J18</f>
        <v>0.54902254039006104</v>
      </c>
      <c r="J18" s="123">
        <f>IS!J38/BS!K18</f>
        <v>0.62523579844042398</v>
      </c>
    </row>
    <row r="19" spans="1:10" ht="15" customHeight="1">
      <c r="A19" s="103" t="s">
        <v>340</v>
      </c>
      <c r="B19" s="122">
        <f>IS!B38/BS!C38</f>
        <v>1.5007132667617689</v>
      </c>
      <c r="C19" s="122">
        <f>IS!C38/BS!D38</f>
        <v>1.9695887275023682</v>
      </c>
      <c r="D19" s="122">
        <f>IS!D38/BS!E38</f>
        <v>1.5607601454639075</v>
      </c>
      <c r="E19" s="122">
        <f>IS!E38/BS!F38</f>
        <v>1.6459350307287095</v>
      </c>
      <c r="F19" s="122">
        <f>IS!F38/BS!G38</f>
        <v>1.5191298333175105</v>
      </c>
      <c r="G19" s="123">
        <f>IS!G38/BS!H38</f>
        <v>1.8005171376691409</v>
      </c>
      <c r="H19" s="123">
        <f>IS!H38/BS!I38</f>
        <v>1.7971062625361718</v>
      </c>
      <c r="I19" s="123">
        <f>IS!I38/BS!J38</f>
        <v>2.2867269320472676</v>
      </c>
      <c r="J19" s="123">
        <f>IS!J38/BS!K38</f>
        <v>3.5318284097781167</v>
      </c>
    </row>
    <row r="20" spans="1:10" ht="19.5" customHeight="1">
      <c r="A20" s="103" t="s">
        <v>341</v>
      </c>
      <c r="B20" s="122">
        <f>(IS!B28*(1-Assumptions!$B$50))/(BS!C42+BS!C38)</f>
        <v>0.49308952180140458</v>
      </c>
      <c r="C20" s="122">
        <f>(IS!C28*(1-Assumptions!$B$50))/(BS!D42+BS!D38)</f>
        <v>0.59459327285186336</v>
      </c>
      <c r="D20" s="122">
        <f>(IS!D28*(1-Assumptions!$B$50))/(BS!E42+BS!E38)</f>
        <v>0.56083592135493032</v>
      </c>
      <c r="E20" s="122">
        <f>(IS!E28*(1-Assumptions!$B$50))/(BS!F42+BS!F38)</f>
        <v>0.64026311445845729</v>
      </c>
      <c r="F20" s="122">
        <f>(IS!F28*(1-Assumptions!$B$50))/(BS!G42+BS!G38)</f>
        <v>0.71529543470836021</v>
      </c>
      <c r="G20" s="123">
        <f>(IS!G28*(1-Assumptions!$B$50))/(BS!H42+BS!H38)</f>
        <v>1.0184429285533592</v>
      </c>
      <c r="H20" s="123">
        <f>(IS!H28*(1-Assumptions!$B$50))/(BS!I42+BS!I38)</f>
        <v>1.1483897818687907</v>
      </c>
      <c r="I20" s="123">
        <f>(IS!I28*(1-Assumptions!$B$50))/(BS!J42+BS!J38)</f>
        <v>1.5318963090245463</v>
      </c>
      <c r="J20" s="123">
        <f>(IS!J28*(1-Assumptions!$B$50))/(BS!K42+BS!K38)</f>
        <v>2.1132802115388531</v>
      </c>
    </row>
    <row r="21" spans="1:10" ht="19.5" customHeight="1"/>
    <row r="22" spans="1:10" ht="19.5" customHeight="1">
      <c r="A22" s="331" t="s">
        <v>342</v>
      </c>
      <c r="B22" s="331"/>
      <c r="C22" s="331"/>
      <c r="D22" s="331"/>
      <c r="E22" s="331"/>
      <c r="F22" s="331"/>
      <c r="G22" s="331"/>
      <c r="H22" s="331"/>
      <c r="I22" s="331"/>
      <c r="J22" s="331"/>
    </row>
    <row r="23" spans="1:10" ht="19.5" customHeight="1">
      <c r="A23" s="103" t="s">
        <v>343</v>
      </c>
      <c r="B23" s="125">
        <f>BS!C42/BS!C38</f>
        <v>1.9768426058012363</v>
      </c>
      <c r="C23" s="125">
        <f>BS!D42/BS!D38</f>
        <v>2.3695334701610355</v>
      </c>
      <c r="D23" s="125">
        <f>BS!E42/BS!E38</f>
        <v>1.7875325845589418</v>
      </c>
      <c r="E23" s="125">
        <f>BS!F42/BS!F38</f>
        <v>1.8723266022827041</v>
      </c>
      <c r="F23" s="125">
        <f>BS!G42/BS!G38</f>
        <v>1.1443044498392849</v>
      </c>
      <c r="G23" s="126">
        <f>BS!H42/BS!H38</f>
        <v>0.72202992139766342</v>
      </c>
      <c r="H23" s="126">
        <f>BS!I42/BS!I38</f>
        <v>0.52475915159944342</v>
      </c>
      <c r="I23" s="126">
        <f>BS!J42/BS!J38</f>
        <v>0.45487186995029566</v>
      </c>
      <c r="J23" s="126">
        <f>BS!K42/BS!K38</f>
        <v>0.62926971191353598</v>
      </c>
    </row>
    <row r="24" spans="1:10" ht="19.5" customHeight="1">
      <c r="A24" s="103" t="s">
        <v>344</v>
      </c>
      <c r="B24" s="122">
        <f>BS!C42/(BS!C42+BS!C38)</f>
        <v>0.66407360669616478</v>
      </c>
      <c r="C24" s="122">
        <f>BS!D42/(BS!D42+BS!D38)</f>
        <v>0.70322301029043988</v>
      </c>
      <c r="D24" s="122">
        <f>BS!E42/(BS!E42+BS!E38)</f>
        <v>0.64125979888474549</v>
      </c>
      <c r="E24" s="122">
        <f>BS!F42/(BS!F42+BS!F38)</f>
        <v>0.65185017636738207</v>
      </c>
      <c r="F24" s="122">
        <f>BS!G42/(BS!G42+BS!G38)</f>
        <v>0.53364831189202178</v>
      </c>
      <c r="G24" s="123">
        <f>BS!H42/(BS!H42+BS!H38)</f>
        <v>0.41928999747672052</v>
      </c>
      <c r="H24" s="123">
        <f>BS!I42/(BS!I42+BS!I38)</f>
        <v>0.34415871585291424</v>
      </c>
      <c r="I24" s="123">
        <f>BS!J42/(BS!J42+BS!J38)</f>
        <v>0.3126542476663845</v>
      </c>
      <c r="J24" s="123">
        <f>BS!K42/(BS!K42+BS!K38)</f>
        <v>0.3862280795574814</v>
      </c>
    </row>
    <row r="25" spans="1:10" ht="19.5" customHeight="1">
      <c r="A25" s="103" t="s">
        <v>345</v>
      </c>
      <c r="B25" s="125">
        <f>BS!C11/BS!C26</f>
        <v>1.0745531195957954</v>
      </c>
      <c r="C25" s="125">
        <f>BS!D11/BS!D26</f>
        <v>0.87935602862672257</v>
      </c>
      <c r="D25" s="125">
        <f>BS!E11/BS!E26</f>
        <v>0.98801167175929749</v>
      </c>
      <c r="E25" s="125">
        <f>BS!F11/BS!F26</f>
        <v>0.86731257653408322</v>
      </c>
      <c r="F25" s="125">
        <f>BS!G11/BS!G26</f>
        <v>0.89329292221866674</v>
      </c>
      <c r="G25" s="126">
        <f>BS!H11/BS!H26</f>
        <v>0.70384882120223524</v>
      </c>
      <c r="H25" s="126">
        <f>BS!I11/BS!I26</f>
        <v>0.48615789033724227</v>
      </c>
      <c r="I25" s="126">
        <f>BS!J11/BS!J26</f>
        <v>0.37756678907868257</v>
      </c>
      <c r="J25" s="126">
        <f>BS!K11/BS!K26</f>
        <v>0.32365377917359761</v>
      </c>
    </row>
    <row r="26" spans="1:10" ht="19.5" customHeight="1">
      <c r="A26" s="103" t="s">
        <v>346</v>
      </c>
      <c r="B26" s="105">
        <f>BS!C43</f>
        <v>-65797</v>
      </c>
      <c r="C26" s="105">
        <f>BS!D43</f>
        <v>-49040</v>
      </c>
      <c r="D26" s="105">
        <f>BS!E43</f>
        <v>-51011</v>
      </c>
      <c r="E26" s="105">
        <f>BS!F43</f>
        <v>-50021</v>
      </c>
      <c r="F26" s="105">
        <f>BS!G43</f>
        <v>-48047</v>
      </c>
      <c r="G26" s="116">
        <f>BS!H43</f>
        <v>-36572.654720307211</v>
      </c>
      <c r="H26" s="116">
        <f>BS!I43</f>
        <v>-46935.95042892627</v>
      </c>
      <c r="I26" s="116">
        <f>BS!J43</f>
        <v>-38024.93680490143</v>
      </c>
      <c r="J26" s="116">
        <f>BS!K43</f>
        <v>-26659.792083790322</v>
      </c>
    </row>
    <row r="27" spans="1:10" ht="19.5" customHeight="1"/>
    <row r="28" spans="1:10" ht="19.5" customHeight="1">
      <c r="A28" s="331" t="s">
        <v>347</v>
      </c>
      <c r="B28" s="331"/>
      <c r="C28" s="331"/>
      <c r="D28" s="331"/>
      <c r="E28" s="331"/>
      <c r="F28" s="331"/>
      <c r="G28" s="331"/>
      <c r="H28" s="331"/>
      <c r="I28" s="331"/>
      <c r="J28" s="331"/>
    </row>
    <row r="29" spans="1:10" ht="15" customHeight="1">
      <c r="A29" s="103" t="s">
        <v>348</v>
      </c>
      <c r="B29" s="105">
        <f>CFS!B14</f>
        <v>104038</v>
      </c>
      <c r="C29" s="105">
        <f>CFS!C14</f>
        <v>122151</v>
      </c>
      <c r="D29" s="105">
        <f>CFS!D14</f>
        <v>110543</v>
      </c>
      <c r="E29" s="105">
        <f>CFS!E14</f>
        <v>118254</v>
      </c>
      <c r="F29" s="105">
        <f>CFS!F14</f>
        <v>111482</v>
      </c>
      <c r="G29" s="116">
        <f>CFS!G14</f>
        <v>153998.44792049998</v>
      </c>
      <c r="H29" s="116">
        <f>CFS!H14</f>
        <v>168510.60104257721</v>
      </c>
      <c r="I29" s="116">
        <f>CFS!I14</f>
        <v>207618.78128128147</v>
      </c>
      <c r="J29" s="116">
        <f>CFS!J14</f>
        <v>239929.47004511041</v>
      </c>
    </row>
    <row r="30" spans="1:10" ht="15" customHeight="1">
      <c r="A30" s="103" t="s">
        <v>22</v>
      </c>
      <c r="B30" s="105">
        <f>CFS!B21</f>
        <v>92953</v>
      </c>
      <c r="C30" s="105">
        <f>CFS!C21</f>
        <v>111443</v>
      </c>
      <c r="D30" s="105">
        <f>CFS!D21</f>
        <v>99584</v>
      </c>
      <c r="E30" s="105">
        <f>CFS!E21</f>
        <v>108807</v>
      </c>
      <c r="F30" s="105">
        <f>CFS!F21</f>
        <v>98767</v>
      </c>
      <c r="G30" s="116">
        <f>CFS!G21</f>
        <v>144092.78886049998</v>
      </c>
      <c r="H30" s="116">
        <f>CFS!H21</f>
        <v>157782.04309917722</v>
      </c>
      <c r="I30" s="116">
        <f>CFS!I21</f>
        <v>195986.33069823147</v>
      </c>
      <c r="J30" s="116">
        <f>CFS!J21</f>
        <v>227302.89442222216</v>
      </c>
    </row>
    <row r="31" spans="1:10" ht="15" customHeight="1">
      <c r="A31" s="103" t="s">
        <v>21</v>
      </c>
      <c r="B31" s="122">
        <f>CFS!B21/IS!B14</f>
        <v>0.25409699385211731</v>
      </c>
      <c r="C31" s="122">
        <f>CFS!C21/IS!C14</f>
        <v>0.28261498042238947</v>
      </c>
      <c r="D31" s="122">
        <f>CFS!D21/IS!D14</f>
        <v>0.25981710737440805</v>
      </c>
      <c r="E31" s="122">
        <f>CFS!E21/IS!E14</f>
        <v>0.27825386474356517</v>
      </c>
      <c r="F31" s="122">
        <f>CFS!F21/IS!F14</f>
        <v>0.23732882225869315</v>
      </c>
      <c r="G31" s="123">
        <f>CFS!G21/IS!G14</f>
        <v>0.32002326505784257</v>
      </c>
      <c r="H31" s="123">
        <f>CFS!H21/IS!H14</f>
        <v>0.32354813820223771</v>
      </c>
      <c r="I31" s="123">
        <f>CFS!I21/IS!I14</f>
        <v>0.37066130172465983</v>
      </c>
      <c r="J31" s="123">
        <f>CFS!J21/IS!J14</f>
        <v>0.39604274560587566</v>
      </c>
    </row>
    <row r="32" spans="1:10" ht="15" customHeight="1">
      <c r="A32" s="103" t="s">
        <v>349</v>
      </c>
      <c r="B32" s="125">
        <f>CFS!B21/IS!B38</f>
        <v>0.98175961132234901</v>
      </c>
      <c r="C32" s="125">
        <f>CFS!C21/IS!C38</f>
        <v>1.1166297606284381</v>
      </c>
      <c r="D32" s="125">
        <f>CFS!D21/IS!D38</f>
        <v>1.0266920975308005</v>
      </c>
      <c r="E32" s="125">
        <f>CFS!E21/IS!E38</f>
        <v>1.1607813433472731</v>
      </c>
      <c r="F32" s="125">
        <f>CFS!F21/IS!F38</f>
        <v>0.88176948486742257</v>
      </c>
      <c r="G32" s="126">
        <f>CFS!G21/IS!G38</f>
        <v>1.0049219636937532</v>
      </c>
      <c r="H32" s="126">
        <f>CFS!H21/IS!H38</f>
        <v>0.98656784946630605</v>
      </c>
      <c r="I32" s="126">
        <f>CFS!I21/IS!I38</f>
        <v>1.0981766427202151</v>
      </c>
      <c r="J32" s="126">
        <f>CFS!J21/IS!J38</f>
        <v>1.1408113831605327</v>
      </c>
    </row>
    <row r="33" spans="1:10" ht="15" customHeight="1">
      <c r="A33" s="103" t="s">
        <v>350</v>
      </c>
      <c r="B33" s="127">
        <f>-CFS!B19/IS!B14</f>
        <v>3.0302036264033657E-2</v>
      </c>
      <c r="C33" s="127">
        <f>-CFS!C19/IS!C14</f>
        <v>2.7155058732831552E-2</v>
      </c>
      <c r="D33" s="127">
        <f>-CFS!D19/IS!D14</f>
        <v>2.859230076835775E-2</v>
      </c>
      <c r="E33" s="127">
        <f>-CFS!E19/IS!E14</f>
        <v>2.415896275269477E-2</v>
      </c>
      <c r="F33" s="127">
        <f>-CFS!F19/IS!F14</f>
        <v>3.0553079216937677E-2</v>
      </c>
      <c r="G33" s="128">
        <f>-CFS!G19/IS!G14</f>
        <v>2.1999999999999995E-2</v>
      </c>
      <c r="H33" s="128">
        <f>-CFS!H19/IS!H14</f>
        <v>2.1999999999999999E-2</v>
      </c>
      <c r="I33" s="128">
        <f>-CFS!I19/IS!I14</f>
        <v>2.1999999999999999E-2</v>
      </c>
      <c r="J33" s="128">
        <f>-CFS!J19/IS!J14</f>
        <v>2.1999999999999999E-2</v>
      </c>
    </row>
  </sheetData>
  <mergeCells count="7">
    <mergeCell ref="A22:J22"/>
    <mergeCell ref="A28:J28"/>
    <mergeCell ref="A1:J1"/>
    <mergeCell ref="A2:J2"/>
    <mergeCell ref="A6:J6"/>
    <mergeCell ref="A12:J12"/>
    <mergeCell ref="A17:J17"/>
  </mergeCells>
  <pageMargins left="0.25" right="0.25" top="0.4" bottom="0.4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1E3"/>
    <pageSetUpPr fitToPage="1"/>
  </sheetPr>
  <dimension ref="A1:J73"/>
  <sheetViews>
    <sheetView showGridLines="0" topLeftCell="A34" zoomScaleNormal="100" workbookViewId="0">
      <selection activeCell="B35" sqref="B35"/>
    </sheetView>
  </sheetViews>
  <sheetFormatPr defaultColWidth="8.6328125" defaultRowHeight="14.5"/>
  <cols>
    <col min="1" max="1" width="35" customWidth="1"/>
    <col min="2" max="9" width="14" customWidth="1"/>
  </cols>
  <sheetData>
    <row r="1" spans="1:10" ht="31.5" customHeight="1">
      <c r="A1" s="318" t="s">
        <v>351</v>
      </c>
      <c r="B1" s="318"/>
      <c r="C1" s="318"/>
      <c r="D1" s="318"/>
      <c r="E1" s="318"/>
      <c r="F1" s="318"/>
      <c r="G1" s="318"/>
      <c r="H1" s="318"/>
      <c r="I1" s="318"/>
      <c r="J1" s="318"/>
    </row>
    <row r="2" spans="1:10" ht="19.5" customHeight="1">
      <c r="A2" s="330" t="s">
        <v>352</v>
      </c>
      <c r="B2" s="330"/>
      <c r="C2" s="330"/>
      <c r="D2" s="330"/>
      <c r="E2" s="330"/>
      <c r="F2" s="330"/>
      <c r="G2" s="330"/>
      <c r="H2" s="330"/>
      <c r="I2" s="330"/>
      <c r="J2" s="330"/>
    </row>
    <row r="3" spans="1:10" ht="6" customHeight="1">
      <c r="A3" s="47"/>
      <c r="B3" s="47"/>
      <c r="C3" s="47"/>
      <c r="D3" s="47"/>
      <c r="E3" s="47"/>
      <c r="F3" s="47"/>
      <c r="G3" s="47"/>
      <c r="H3" s="47"/>
      <c r="I3" s="47"/>
      <c r="J3" s="47"/>
    </row>
    <row r="4" spans="1:10" ht="15" customHeight="1" thickBot="1">
      <c r="A4" s="99" t="s">
        <v>237</v>
      </c>
      <c r="B4" s="101" t="s">
        <v>37</v>
      </c>
      <c r="C4" s="101" t="s">
        <v>38</v>
      </c>
      <c r="D4" s="101" t="s">
        <v>39</v>
      </c>
      <c r="E4" s="101" t="s">
        <v>674</v>
      </c>
      <c r="F4" s="101" t="s">
        <v>353</v>
      </c>
    </row>
    <row r="6" spans="1:10" ht="18" customHeight="1">
      <c r="A6" s="331" t="s">
        <v>354</v>
      </c>
      <c r="B6" s="331"/>
      <c r="C6" s="331"/>
      <c r="D6" s="331"/>
      <c r="E6" s="331"/>
      <c r="F6" s="331"/>
    </row>
    <row r="7" spans="1:10" ht="15" customHeight="1">
      <c r="A7" s="103" t="s">
        <v>355</v>
      </c>
      <c r="B7" s="116">
        <f>IS!G28</f>
        <v>164312.69315000001</v>
      </c>
      <c r="C7" s="116">
        <f>IS!H28</f>
        <v>183327.87390350003</v>
      </c>
      <c r="D7" s="116">
        <f>IS!I28</f>
        <v>204632.43108387507</v>
      </c>
      <c r="E7" s="116">
        <f>IS!J28</f>
        <v>228519.18633943133</v>
      </c>
    </row>
    <row r="8" spans="1:10" ht="15" customHeight="1">
      <c r="A8" s="103" t="s">
        <v>356</v>
      </c>
      <c r="B8" s="123">
        <f>1-Assumptions!$B$50</f>
        <v>0.85</v>
      </c>
      <c r="C8" s="123">
        <f>1-Assumptions!$B$50</f>
        <v>0.85</v>
      </c>
      <c r="D8" s="123">
        <f>1-Assumptions!$B$50</f>
        <v>0.85</v>
      </c>
      <c r="E8" s="123">
        <f>1-Assumptions!$B$50</f>
        <v>0.85</v>
      </c>
    </row>
    <row r="9" spans="1:10" ht="15" customHeight="1">
      <c r="A9" s="110" t="s">
        <v>357</v>
      </c>
      <c r="B9" s="112">
        <f>B7*B8</f>
        <v>139665.7891775</v>
      </c>
      <c r="C9" s="112">
        <f>C7*C8</f>
        <v>155828.69281797501</v>
      </c>
      <c r="D9" s="112">
        <f>D7*D8</f>
        <v>173937.5664212938</v>
      </c>
      <c r="E9" s="112">
        <f>E7*E8</f>
        <v>194241.30838851663</v>
      </c>
    </row>
    <row r="10" spans="1:10" ht="15" customHeight="1">
      <c r="A10" s="103" t="s">
        <v>358</v>
      </c>
      <c r="B10" s="116">
        <f>CFS!G10</f>
        <v>11256.43075</v>
      </c>
      <c r="C10" s="116">
        <f>CFS!H10</f>
        <v>12191.543117500001</v>
      </c>
      <c r="D10" s="116">
        <f>CFS!I10</f>
        <v>13218.693844375004</v>
      </c>
      <c r="E10" s="116">
        <f>CFS!J10</f>
        <v>14348.381389645756</v>
      </c>
    </row>
    <row r="11" spans="1:10" ht="15" customHeight="1">
      <c r="A11" s="103" t="s">
        <v>359</v>
      </c>
      <c r="B11" s="116">
        <f>CFS!G19</f>
        <v>-9905.6590599999981</v>
      </c>
      <c r="C11" s="116">
        <f>CFS!H19</f>
        <v>-10728.557943399999</v>
      </c>
      <c r="D11" s="116">
        <f>CFS!I19</f>
        <v>-11632.450583050002</v>
      </c>
      <c r="E11" s="116">
        <f>CFS!J19</f>
        <v>-12626.575622888264</v>
      </c>
    </row>
    <row r="12" spans="1:10" ht="15" customHeight="1">
      <c r="A12" s="103" t="s">
        <v>360</v>
      </c>
      <c r="B12" s="116">
        <f>CFS!G13</f>
        <v>-14603</v>
      </c>
      <c r="C12" s="116">
        <f>CFS!H13</f>
        <v>-18728.705836667817</v>
      </c>
      <c r="D12" s="116">
        <f>CFS!I13</f>
        <v>-456.30797308982073</v>
      </c>
      <c r="E12" s="116">
        <f>CFS!J13</f>
        <v>8542.4036169987012</v>
      </c>
    </row>
    <row r="13" spans="1:10" ht="15" customHeight="1">
      <c r="A13" s="87" t="s">
        <v>361</v>
      </c>
      <c r="B13" s="115">
        <f>B9+B10+B11+B12</f>
        <v>126413.5608675</v>
      </c>
      <c r="C13" s="115">
        <f>C9+C10+C11+C12</f>
        <v>138562.97215540719</v>
      </c>
      <c r="D13" s="115">
        <f>D9+D10+D11+D12</f>
        <v>175067.50170952897</v>
      </c>
      <c r="E13" s="244">
        <f>E9+E10+E11+E12</f>
        <v>204505.51777227281</v>
      </c>
      <c r="F13" s="244">
        <f>E13*(1+Assumptions!$B$55)/(Assumptions!$B$54-Assumptions!$B$55)</f>
        <v>4399805.395413911</v>
      </c>
    </row>
    <row r="15" spans="1:10" ht="15" customHeight="1">
      <c r="A15" s="113" t="s">
        <v>362</v>
      </c>
      <c r="B15" s="129">
        <v>1</v>
      </c>
      <c r="C15" s="129">
        <v>2</v>
      </c>
      <c r="D15" s="129">
        <v>3</v>
      </c>
      <c r="E15" s="129">
        <v>4</v>
      </c>
      <c r="F15" s="129">
        <v>5</v>
      </c>
    </row>
    <row r="16" spans="1:10" ht="15" customHeight="1">
      <c r="A16" s="103" t="s">
        <v>363</v>
      </c>
      <c r="B16" s="130">
        <f>1/(1+Assumptions!$B$54)^B15</f>
        <v>0.92775136263481395</v>
      </c>
      <c r="C16" s="130">
        <f>1/(1+Assumptions!$B$54)^C15</f>
        <v>0.86072259087075409</v>
      </c>
      <c r="D16" s="130">
        <f>1/(1+Assumptions!$B$54)^D15</f>
        <v>0.7985365565309096</v>
      </c>
      <c r="E16" s="130">
        <f>1/(1+Assumptions!$B$54)^E15</f>
        <v>0.7408433784352636</v>
      </c>
      <c r="F16" s="130">
        <f>1/(1+Assumptions!$B$54)^F15</f>
        <v>0.68731845384229495</v>
      </c>
    </row>
    <row r="17" spans="1:8" ht="15" customHeight="1">
      <c r="A17" s="110" t="s">
        <v>364</v>
      </c>
      <c r="B17" s="112">
        <f>B13*B16</f>
        <v>117280.35335034212</v>
      </c>
      <c r="C17" s="112">
        <f>C13*C16</f>
        <v>119264.28039235424</v>
      </c>
      <c r="D17" s="112">
        <f>D13*D16</f>
        <v>139797.7999755964</v>
      </c>
      <c r="E17" s="245">
        <f>E13*E16</f>
        <v>151506.55869506343</v>
      </c>
      <c r="F17" s="245">
        <f>F13*F16</f>
        <v>3024067.4415828763</v>
      </c>
    </row>
    <row r="19" spans="1:8" ht="18" customHeight="1">
      <c r="A19" s="331" t="s">
        <v>365</v>
      </c>
      <c r="B19" s="331"/>
      <c r="C19" s="331"/>
      <c r="D19" s="331"/>
    </row>
    <row r="20" spans="1:8" ht="15" customHeight="1">
      <c r="A20" s="119" t="s">
        <v>366</v>
      </c>
      <c r="B20" s="131">
        <f>SUM(B17:E17)</f>
        <v>527848.9924133562</v>
      </c>
    </row>
    <row r="21" spans="1:8" ht="15" customHeight="1">
      <c r="A21" s="119" t="s">
        <v>367</v>
      </c>
      <c r="B21" s="131">
        <f>F17</f>
        <v>3024067.4415828763</v>
      </c>
    </row>
    <row r="22" spans="1:8" ht="15" customHeight="1">
      <c r="A22" s="110" t="s">
        <v>368</v>
      </c>
      <c r="B22" s="131">
        <f>B20+B21</f>
        <v>3551916.4339962322</v>
      </c>
    </row>
    <row r="23" spans="1:8" ht="15" customHeight="1">
      <c r="A23" s="119" t="s">
        <v>369</v>
      </c>
      <c r="B23" s="215">
        <f>BS!F5+BS!F6+BS!F15-BS!F42</f>
        <v>50021</v>
      </c>
    </row>
    <row r="24" spans="1:8" ht="15" customHeight="1">
      <c r="A24" s="110" t="s">
        <v>370</v>
      </c>
      <c r="B24" s="131">
        <f>B22+B23</f>
        <v>3601937.4339962322</v>
      </c>
    </row>
    <row r="25" spans="1:8" ht="15" customHeight="1">
      <c r="A25" s="119" t="s">
        <v>371</v>
      </c>
      <c r="B25" s="132">
        <f>Assumptions!$B$58</f>
        <v>15004.7</v>
      </c>
    </row>
    <row r="26" spans="1:8" ht="15" customHeight="1">
      <c r="A26" s="110" t="s">
        <v>372</v>
      </c>
      <c r="B26" s="133">
        <f>B24/B25</f>
        <v>240.05394536353489</v>
      </c>
    </row>
    <row r="27" spans="1:8" ht="15" customHeight="1">
      <c r="A27" s="119" t="s">
        <v>373</v>
      </c>
      <c r="B27" s="134">
        <f>Assumptions!$B$59</f>
        <v>232.5</v>
      </c>
    </row>
    <row r="28" spans="1:8" ht="15" customHeight="1">
      <c r="A28" s="110" t="s">
        <v>374</v>
      </c>
      <c r="B28" s="135">
        <f>B26/B27-1</f>
        <v>3.2490087585096417E-2</v>
      </c>
    </row>
    <row r="31" spans="1:8" ht="18" customHeight="1">
      <c r="A31" s="331" t="s">
        <v>375</v>
      </c>
      <c r="B31" s="331"/>
      <c r="C31" s="331"/>
      <c r="D31" s="331"/>
      <c r="E31" s="331"/>
      <c r="F31" s="331"/>
      <c r="G31" s="331"/>
      <c r="H31" s="331"/>
    </row>
    <row r="33" spans="1:8" ht="15" customHeight="1">
      <c r="A33" s="28" t="s">
        <v>6</v>
      </c>
      <c r="B33" s="29">
        <v>1.4999999999999999E-2</v>
      </c>
      <c r="C33" s="29">
        <v>0.02</v>
      </c>
      <c r="D33" s="29">
        <v>2.5000000000000001E-2</v>
      </c>
      <c r="E33" s="29">
        <v>0.03</v>
      </c>
      <c r="F33" s="29">
        <v>3.5000000000000003E-2</v>
      </c>
    </row>
    <row r="34" spans="1:8" ht="15" customHeight="1">
      <c r="A34" s="30">
        <v>7.4999999999999997E-2</v>
      </c>
      <c r="B34" s="136">
        <f>($B$13/(1+$A34)^1+$C$13/(1+$A34)^2+$D$13/(1+$A34)^3+$E$13/(1+$A34)^4+($E$13*(1+B$33)/($A34-B$33))/(1+$A34)^4+$B$23)/Assumptions!$B$58</f>
        <v>211.40632416538645</v>
      </c>
      <c r="C34" s="136">
        <f>($B$13/(1+$A34)^1+$C$13/(1+$A34)^2+$D$13/(1+$A34)^3+$E$13/(1+$A34)^4+($E$13*(1+C$33)/($A34-C$33))/(1+$A34)^4+$B$23)/Assumptions!$B$58</f>
        <v>228.02928513800143</v>
      </c>
      <c r="D34" s="136">
        <f>($B$13/(1+$A34)^1+$C$13/(1+$A34)^2+$D$13/(1+$A34)^3+$E$13/(1+$A34)^4+($E$13*(1+D$33)/($A34-D$33))/(1+$A34)^4+$B$23)/Assumptions!$B$58</f>
        <v>247.97683830513932</v>
      </c>
      <c r="E34" s="136">
        <f>($B$13/(1+$A34)^1+$C$13/(1+$A34)^2+$D$13/(1+$A34)^3+$E$13/(1+$A34)^4+($E$13*(1+E$33)/($A34-E$33))/(1+$A34)^4+$B$23)/Assumptions!$B$58</f>
        <v>272.35718106497455</v>
      </c>
      <c r="F34" s="136">
        <f>($B$13/(1+$A34)^1+$C$13/(1+$A34)^2+$D$13/(1+$A34)^3+$E$13/(1+$A34)^4+($E$13*(1+F$33)/($A34-F$33))/(1+$A34)^4+$B$23)/Assumptions!$B$58</f>
        <v>302.83260951476865</v>
      </c>
    </row>
    <row r="35" spans="1:8" ht="15" customHeight="1">
      <c r="A35" s="30">
        <v>0.08</v>
      </c>
      <c r="B35" s="136">
        <f>($B$13/(1+$A35)^1+$C$13/(1+$A35)^2+$D$13/(1+$A35)^3+$E$13/(1+$A35)^4+($E$13*(1+B$33)/($A35-B$33))/(1+$A35)^4+$B$23)/Assumptions!$B$58</f>
        <v>194.76737165349144</v>
      </c>
      <c r="C35" s="136">
        <f>($B$13/(1+$A35)^1+$C$13/(1+$A35)^2+$D$13/(1+$A35)^3+$E$13/(1+$A35)^4+($E$13*(1+C$33)/($A35-C$33))/(1+$A35)^4+$B$23)/Assumptions!$B$58</f>
        <v>208.63850173137931</v>
      </c>
      <c r="D35" s="136">
        <f>($B$13/(1+$A35)^1+$C$13/(1+$A35)^2+$D$13/(1+$A35)^3+$E$13/(1+$A35)^4+($E$13*(1+D$33)/($A35-D$33))/(1+$A35)^4+$B$23)/Assumptions!$B$58</f>
        <v>225.0316554597922</v>
      </c>
      <c r="E35" s="136">
        <f>($B$13/(1+$A35)^1+$C$13/(1+$A35)^2+$D$13/(1+$A35)^3+$E$13/(1+$A35)^4+($E$13*(1+E$33)/($A35-E$33))/(1+$A35)^4+$B$23)/Assumptions!$B$58</f>
        <v>244.70343993388772</v>
      </c>
      <c r="F35" s="136">
        <f>($B$13/(1+$A35)^1+$C$13/(1+$A35)^2+$D$13/(1+$A35)^3+$E$13/(1+$A35)^4+($E$13*(1+F$33)/($A35-F$33))/(1+$A35)^4+$B$23)/Assumptions!$B$58</f>
        <v>268.74673206889332</v>
      </c>
    </row>
    <row r="36" spans="1:8" ht="15" customHeight="1">
      <c r="A36" s="30">
        <v>8.5000000000000006E-2</v>
      </c>
      <c r="B36" s="136">
        <f>($B$13/(1+$A36)^1+$C$13/(1+$A36)^2+$D$13/(1+$A36)^3+$E$13/(1+$A36)^4+($E$13*(1+B$33)/($A36-B$33))/(1+$A36)^4+$B$23)/Assumptions!$B$58</f>
        <v>180.51462601707644</v>
      </c>
      <c r="C36" s="136">
        <f>($B$13/(1+$A36)^1+$C$13/(1+$A36)^2+$D$13/(1+$A36)^3+$E$13/(1+$A36)^4+($E$13*(1+C$33)/($A36-C$33))/(1+$A36)^4+$B$23)/Assumptions!$B$58</f>
        <v>192.24055087107507</v>
      </c>
      <c r="D36" s="136">
        <f>($B$13/(1+$A36)^1+$C$13/(1+$A36)^2+$D$13/(1+$A36)^3+$E$13/(1+$A36)^4+($E$13*(1+D$33)/($A36-D$33))/(1+$A36)^4+$B$23)/Assumptions!$B$58</f>
        <v>205.92079653407345</v>
      </c>
      <c r="E36" s="136">
        <f>($B$13/(1+$A36)^1+$C$13/(1+$A36)^2+$D$13/(1+$A36)^3+$E$13/(1+$A36)^4+($E$13*(1+E$33)/($A36-E$33))/(1+$A36)^4+$B$23)/Assumptions!$B$58</f>
        <v>222.08835959034428</v>
      </c>
      <c r="F36" s="136">
        <f>($B$13/(1+$A36)^1+$C$13/(1+$A36)^2+$D$13/(1+$A36)^3+$E$13/(1+$A36)^4+($E$13*(1+F$33)/($A36-F$33))/(1+$A36)^4+$B$23)/Assumptions!$B$58</f>
        <v>241.4894352578693</v>
      </c>
    </row>
    <row r="37" spans="1:8" ht="15" customHeight="1">
      <c r="A37" s="30">
        <v>0.09</v>
      </c>
      <c r="B37" s="136">
        <f>($B$13/(1+$A37)^1+$C$13/(1+$A37)^2+$D$13/(1+$A37)^3+$E$13/(1+$A37)^4+($E$13*(1+B$33)/($A37-B$33))/(1+$A37)^4+$B$23)/Assumptions!$B$58</f>
        <v>168.17066809084272</v>
      </c>
      <c r="C37" s="136">
        <f>($B$13/(1+$A37)^1+$C$13/(1+$A37)^2+$D$13/(1+$A37)^3+$E$13/(1+$A37)^4+($E$13*(1+C$33)/($A37-C$33))/(1+$A37)^4+$B$23)/Assumptions!$B$58</f>
        <v>178.19392635278308</v>
      </c>
      <c r="D37" s="136">
        <f>($B$13/(1+$A37)^1+$C$13/(1+$A37)^2+$D$13/(1+$A37)^3+$E$13/(1+$A37)^4+($E$13*(1+D$33)/($A37-D$33))/(1+$A37)^4+$B$23)/Assumptions!$B$58</f>
        <v>189.75922434732962</v>
      </c>
      <c r="E37" s="136">
        <f>($B$13/(1+$A37)^1+$C$13/(1+$A37)^2+$D$13/(1+$A37)^3+$E$13/(1+$A37)^4+($E$13*(1+E$33)/($A37-E$33))/(1+$A37)^4+$B$23)/Assumptions!$B$58</f>
        <v>203.25207200763398</v>
      </c>
      <c r="F37" s="136">
        <f>($B$13/(1+$A37)^1+$C$13/(1+$A37)^2+$D$13/(1+$A37)^3+$E$13/(1+$A37)^4+($E$13*(1+F$33)/($A37-F$33))/(1+$A37)^4+$B$23)/Assumptions!$B$58</f>
        <v>219.19816469708459</v>
      </c>
    </row>
    <row r="38" spans="1:8" ht="15" customHeight="1">
      <c r="A38" s="30">
        <v>9.5000000000000001E-2</v>
      </c>
      <c r="B38" s="136">
        <f>($B$13/(1+$A38)^1+$C$13/(1+$A38)^2+$D$13/(1+$A38)^3+$E$13/(1+$A38)^4+($E$13*(1+B$33)/($A38-B$33))/(1+$A38)^4+$B$23)/Assumptions!$B$58</f>
        <v>157.37743774434821</v>
      </c>
      <c r="C38" s="136">
        <f>($B$13/(1+$A38)^1+$C$13/(1+$A38)^2+$D$13/(1+$A38)^3+$E$13/(1+$A38)^4+($E$13*(1+C$33)/($A38-C$33))/(1+$A38)^4+$B$23)/Assumptions!$B$58</f>
        <v>166.02819468698175</v>
      </c>
      <c r="D38" s="136">
        <f>($B$13/(1+$A38)^1+$C$13/(1+$A38)^2+$D$13/(1+$A38)^3+$E$13/(1+$A38)^4+($E$13*(1+D$33)/($A38-D$33))/(1+$A38)^4+$B$23)/Assumptions!$B$58</f>
        <v>175.91477404999145</v>
      </c>
      <c r="E38" s="136">
        <f>($B$13/(1+$A38)^1+$C$13/(1+$A38)^2+$D$13/(1+$A38)^3+$E$13/(1+$A38)^4+($E$13*(1+E$33)/($A38-E$33))/(1+$A38)^4+$B$23)/Assumptions!$B$58</f>
        <v>187.32236562269506</v>
      </c>
      <c r="F38" s="136">
        <f>($B$13/(1+$A38)^1+$C$13/(1+$A38)^2+$D$13/(1+$A38)^3+$E$13/(1+$A38)^4+($E$13*(1+F$33)/($A38-F$33))/(1+$A38)^4+$B$23)/Assumptions!$B$58</f>
        <v>200.63122245751583</v>
      </c>
    </row>
    <row r="40" spans="1:8" ht="15" customHeight="1">
      <c r="A40" s="335" t="s">
        <v>376</v>
      </c>
      <c r="B40" s="335"/>
      <c r="C40" s="335"/>
      <c r="D40" s="335"/>
      <c r="E40" s="335"/>
      <c r="F40" s="335"/>
      <c r="G40" s="335"/>
      <c r="H40" s="335"/>
    </row>
    <row r="41" spans="1:8">
      <c r="A41" s="11" t="s">
        <v>377</v>
      </c>
      <c r="B41" s="12"/>
      <c r="C41" s="12"/>
      <c r="D41" s="12"/>
      <c r="E41" s="12"/>
      <c r="F41" s="12"/>
      <c r="G41" s="12"/>
    </row>
    <row r="42" spans="1:8">
      <c r="A42" s="31" t="s">
        <v>378</v>
      </c>
    </row>
    <row r="43" spans="1:8">
      <c r="A43" s="28" t="s">
        <v>379</v>
      </c>
      <c r="B43" s="32">
        <v>0.28000000000000003</v>
      </c>
      <c r="C43" s="32">
        <v>0.3</v>
      </c>
      <c r="D43" s="32">
        <v>0.32</v>
      </c>
      <c r="E43" s="32">
        <v>0.34</v>
      </c>
      <c r="F43" s="32">
        <v>0.36</v>
      </c>
    </row>
    <row r="44" spans="1:8">
      <c r="A44" s="32">
        <v>0.02</v>
      </c>
      <c r="B44" s="136">
        <f>((IS!$F$14*(1+$A44))*(B$43*(1-Assumptions!$B$50)-Assumptions!$G$37)/(1+Assumptions!$B$54)^1+(IS!$F$14*(1+$A44)^2)*(B$43*(1-Assumptions!$B$50)-Assumptions!$G$37)/(1+Assumptions!$B$54)^2+(IS!$F$14*(1+$A44)^3)*(B$43*(1-Assumptions!$B$50)-Assumptions!$G$37)/(1+Assumptions!$B$54)^3+(IS!$F$14*(1+$A44)^4)*(B$43*(1-Assumptions!$B$50)-Assumptions!$G$37)/(1+Assumptions!$B$54)^4+(IS!$F$14*(1+$A44)^4)*(B$43*(1-Assumptions!$B$50)-Assumptions!$G$37)*(1+Assumptions!$B$55)/(Assumptions!$B$54-Assumptions!$B$55)/(1+Assumptions!$B$54)^4+(BS!$F$5+BS!$F$6+BS!$F$15-BS!$F$42))/Assumptions!$B$58</f>
        <v>127.60630412578597</v>
      </c>
      <c r="C44" s="136">
        <f>((IS!$F$14*(1+$A44))*(C$43*(1-Assumptions!$B$50)-Assumptions!$G$37)/(1+Assumptions!$B$54)^1+(IS!$F$14*(1+$A44)^2)*(C$43*(1-Assumptions!$B$50)-Assumptions!$G$37)/(1+Assumptions!$B$54)^2+(IS!$F$14*(1+$A44)^3)*(C$43*(1-Assumptions!$B$50)-Assumptions!$G$37)/(1+Assumptions!$B$54)^3+(IS!$F$14*(1+$A44)^4)*(C$43*(1-Assumptions!$B$50)-Assumptions!$G$37)/(1+Assumptions!$B$54)^4+(IS!$F$14*(1+$A44)^4)*(C$43*(1-Assumptions!$B$50)-Assumptions!$G$37)*(1+Assumptions!$B$55)/(Assumptions!$B$54-Assumptions!$B$55)/(1+Assumptions!$B$54)^4+(BS!$F$5+BS!$F$6+BS!$F$15-BS!$F$42))/Assumptions!$B$58</f>
        <v>137.38701922264053</v>
      </c>
      <c r="D44" s="136">
        <f>((IS!$F$14*(1+$A44))*(D$43*(1-Assumptions!$B$50)-Assumptions!$G$37)/(1+Assumptions!$B$54)^1+(IS!$F$14*(1+$A44)^2)*(D$43*(1-Assumptions!$B$50)-Assumptions!$G$37)/(1+Assumptions!$B$54)^2+(IS!$F$14*(1+$A44)^3)*(D$43*(1-Assumptions!$B$50)-Assumptions!$G$37)/(1+Assumptions!$B$54)^3+(IS!$F$14*(1+$A44)^4)*(D$43*(1-Assumptions!$B$50)-Assumptions!$G$37)/(1+Assumptions!$B$54)^4+(IS!$F$14*(1+$A44)^4)*(D$43*(1-Assumptions!$B$50)-Assumptions!$G$37)*(1+Assumptions!$B$55)/(Assumptions!$B$54-Assumptions!$B$55)/(1+Assumptions!$B$54)^4+(BS!$F$5+BS!$F$6+BS!$F$15-BS!$F$42))/Assumptions!$B$58</f>
        <v>147.16773431949505</v>
      </c>
      <c r="E44" s="136">
        <f>((IS!$F$14*(1+$A44))*(E$43*(1-Assumptions!$B$50)-Assumptions!$G$37)/(1+Assumptions!$B$54)^1+(IS!$F$14*(1+$A44)^2)*(E$43*(1-Assumptions!$B$50)-Assumptions!$G$37)/(1+Assumptions!$B$54)^2+(IS!$F$14*(1+$A44)^3)*(E$43*(1-Assumptions!$B$50)-Assumptions!$G$37)/(1+Assumptions!$B$54)^3+(IS!$F$14*(1+$A44)^4)*(E$43*(1-Assumptions!$B$50)-Assumptions!$G$37)/(1+Assumptions!$B$54)^4+(IS!$F$14*(1+$A44)^4)*(E$43*(1-Assumptions!$B$50)-Assumptions!$G$37)*(1+Assumptions!$B$55)/(Assumptions!$B$54-Assumptions!$B$55)/(1+Assumptions!$B$54)^4+(BS!$F$5+BS!$F$6+BS!$F$15-BS!$F$42))/Assumptions!$B$58</f>
        <v>156.9484494163496</v>
      </c>
      <c r="F44" s="136">
        <f>((IS!$F$14*(1+$A44))*(F$43*(1-Assumptions!$B$50)-Assumptions!$G$37)/(1+Assumptions!$B$54)^1+(IS!$F$14*(1+$A44)^2)*(F$43*(1-Assumptions!$B$50)-Assumptions!$G$37)/(1+Assumptions!$B$54)^2+(IS!$F$14*(1+$A44)^3)*(F$43*(1-Assumptions!$B$50)-Assumptions!$G$37)/(1+Assumptions!$B$54)^3+(IS!$F$14*(1+$A44)^4)*(F$43*(1-Assumptions!$B$50)-Assumptions!$G$37)/(1+Assumptions!$B$54)^4+(IS!$F$14*(1+$A44)^4)*(F$43*(1-Assumptions!$B$50)-Assumptions!$G$37)*(1+Assumptions!$B$55)/(Assumptions!$B$54-Assumptions!$B$55)/(1+Assumptions!$B$54)^4+(BS!$F$5+BS!$F$6+BS!$F$15-BS!$F$42))/Assumptions!$B$58</f>
        <v>166.72916451320413</v>
      </c>
    </row>
    <row r="45" spans="1:8">
      <c r="A45" s="32">
        <v>3.5000000000000003E-2</v>
      </c>
      <c r="B45" s="136">
        <f>((IS!$F$14*(1+$A45))*(B$43*(1-Assumptions!$B$50)-Assumptions!$G$37)/(1+Assumptions!$B$54)^1+(IS!$F$14*(1+$A45)^2)*(B$43*(1-Assumptions!$B$50)-Assumptions!$G$37)/(1+Assumptions!$B$54)^2+(IS!$F$14*(1+$A45)^3)*(B$43*(1-Assumptions!$B$50)-Assumptions!$G$37)/(1+Assumptions!$B$54)^3+(IS!$F$14*(1+$A45)^4)*(B$43*(1-Assumptions!$B$50)-Assumptions!$G$37)/(1+Assumptions!$B$54)^4+(IS!$F$14*(1+$A45)^4)*(B$43*(1-Assumptions!$B$50)-Assumptions!$G$37)*(1+Assumptions!$B$55)/(Assumptions!$B$54-Assumptions!$B$55)/(1+Assumptions!$B$54)^4+(BS!$F$5+BS!$F$6+BS!$F$15-BS!$F$42))/Assumptions!$B$58</f>
        <v>134.5801020355949</v>
      </c>
      <c r="C45" s="136">
        <f>((IS!$F$14*(1+$A45))*(C$43*(1-Assumptions!$B$50)-Assumptions!$G$37)/(1+Assumptions!$B$54)^1+(IS!$F$14*(1+$A45)^2)*(C$43*(1-Assumptions!$B$50)-Assumptions!$G$37)/(1+Assumptions!$B$54)^2+(IS!$F$14*(1+$A45)^3)*(C$43*(1-Assumptions!$B$50)-Assumptions!$G$37)/(1+Assumptions!$B$54)^3+(IS!$F$14*(1+$A45)^4)*(C$43*(1-Assumptions!$B$50)-Assumptions!$G$37)/(1+Assumptions!$B$54)^4+(IS!$F$14*(1+$A45)^4)*(C$43*(1-Assumptions!$B$50)-Assumptions!$G$37)*(1+Assumptions!$B$55)/(Assumptions!$B$54-Assumptions!$B$55)/(1+Assumptions!$B$54)^4+(BS!$F$5+BS!$F$6+BS!$F$15-BS!$F$42))/Assumptions!$B$58</f>
        <v>144.90968085683258</v>
      </c>
      <c r="D45" s="136">
        <f>((IS!$F$14*(1+$A45))*(D$43*(1-Assumptions!$B$50)-Assumptions!$G$37)/(1+Assumptions!$B$54)^1+(IS!$F$14*(1+$A45)^2)*(D$43*(1-Assumptions!$B$50)-Assumptions!$G$37)/(1+Assumptions!$B$54)^2+(IS!$F$14*(1+$A45)^3)*(D$43*(1-Assumptions!$B$50)-Assumptions!$G$37)/(1+Assumptions!$B$54)^3+(IS!$F$14*(1+$A45)^4)*(D$43*(1-Assumptions!$B$50)-Assumptions!$G$37)/(1+Assumptions!$B$54)^4+(IS!$F$14*(1+$A45)^4)*(D$43*(1-Assumptions!$B$50)-Assumptions!$G$37)*(1+Assumptions!$B$55)/(Assumptions!$B$54-Assumptions!$B$55)/(1+Assumptions!$B$54)^4+(BS!$F$5+BS!$F$6+BS!$F$15-BS!$F$42))/Assumptions!$B$58</f>
        <v>155.23925967807023</v>
      </c>
      <c r="E45" s="136">
        <f>((IS!$F$14*(1+$A45))*(E$43*(1-Assumptions!$B$50)-Assumptions!$G$37)/(1+Assumptions!$B$54)^1+(IS!$F$14*(1+$A45)^2)*(E$43*(1-Assumptions!$B$50)-Assumptions!$G$37)/(1+Assumptions!$B$54)^2+(IS!$F$14*(1+$A45)^3)*(E$43*(1-Assumptions!$B$50)-Assumptions!$G$37)/(1+Assumptions!$B$54)^3+(IS!$F$14*(1+$A45)^4)*(E$43*(1-Assumptions!$B$50)-Assumptions!$G$37)/(1+Assumptions!$B$54)^4+(IS!$F$14*(1+$A45)^4)*(E$43*(1-Assumptions!$B$50)-Assumptions!$G$37)*(1+Assumptions!$B$55)/(Assumptions!$B$54-Assumptions!$B$55)/(1+Assumptions!$B$54)^4+(BS!$F$5+BS!$F$6+BS!$F$15-BS!$F$42))/Assumptions!$B$58</f>
        <v>165.5688384993079</v>
      </c>
      <c r="F45" s="136">
        <f>((IS!$F$14*(1+$A45))*(F$43*(1-Assumptions!$B$50)-Assumptions!$G$37)/(1+Assumptions!$B$54)^1+(IS!$F$14*(1+$A45)^2)*(F$43*(1-Assumptions!$B$50)-Assumptions!$G$37)/(1+Assumptions!$B$54)^2+(IS!$F$14*(1+$A45)^3)*(F$43*(1-Assumptions!$B$50)-Assumptions!$G$37)/(1+Assumptions!$B$54)^3+(IS!$F$14*(1+$A45)^4)*(F$43*(1-Assumptions!$B$50)-Assumptions!$G$37)/(1+Assumptions!$B$54)^4+(IS!$F$14*(1+$A45)^4)*(F$43*(1-Assumptions!$B$50)-Assumptions!$G$37)*(1+Assumptions!$B$55)/(Assumptions!$B$54-Assumptions!$B$55)/(1+Assumptions!$B$54)^4+(BS!$F$5+BS!$F$6+BS!$F$15-BS!$F$42))/Assumptions!$B$58</f>
        <v>175.89841732054555</v>
      </c>
    </row>
    <row r="46" spans="1:8">
      <c r="A46" s="32">
        <v>0.05</v>
      </c>
      <c r="B46" s="136">
        <f>((IS!$F$14*(1+$A46))*(B$43*(1-Assumptions!$B$50)-Assumptions!$G$37)/(1+Assumptions!$B$54)^1+(IS!$F$14*(1+$A46)^2)*(B$43*(1-Assumptions!$B$50)-Assumptions!$G$37)/(1+Assumptions!$B$54)^2+(IS!$F$14*(1+$A46)^3)*(B$43*(1-Assumptions!$B$50)-Assumptions!$G$37)/(1+Assumptions!$B$54)^3+(IS!$F$14*(1+$A46)^4)*(B$43*(1-Assumptions!$B$50)-Assumptions!$G$37)/(1+Assumptions!$B$54)^4+(IS!$F$14*(1+$A46)^4)*(B$43*(1-Assumptions!$B$50)-Assumptions!$G$37)*(1+Assumptions!$B$55)/(Assumptions!$B$54-Assumptions!$B$55)/(1+Assumptions!$B$54)^4+(BS!$F$5+BS!$F$6+BS!$F$15-BS!$F$42))/Assumptions!$B$58</f>
        <v>141.85192838714849</v>
      </c>
      <c r="C46" s="136">
        <f>((IS!$F$14*(1+$A46))*(C$43*(1-Assumptions!$B$50)-Assumptions!$G$37)/(1+Assumptions!$B$54)^1+(IS!$F$14*(1+$A46)^2)*(C$43*(1-Assumptions!$B$50)-Assumptions!$G$37)/(1+Assumptions!$B$54)^2+(IS!$F$14*(1+$A46)^3)*(C$43*(1-Assumptions!$B$50)-Assumptions!$G$37)/(1+Assumptions!$B$54)^3+(IS!$F$14*(1+$A46)^4)*(C$43*(1-Assumptions!$B$50)-Assumptions!$G$37)/(1+Assumptions!$B$54)^4+(IS!$F$14*(1+$A46)^4)*(C$43*(1-Assumptions!$B$50)-Assumptions!$G$37)*(1+Assumptions!$B$55)/(Assumptions!$B$54-Assumptions!$B$55)/(1+Assumptions!$B$54)^4+(BS!$F$5+BS!$F$6+BS!$F$15-BS!$F$42))/Assumptions!$B$58</f>
        <v>152.7538268749436</v>
      </c>
      <c r="D46" s="136">
        <f>((IS!$F$14*(1+$A46))*(D$43*(1-Assumptions!$B$50)-Assumptions!$G$37)/(1+Assumptions!$B$54)^1+(IS!$F$14*(1+$A46)^2)*(D$43*(1-Assumptions!$B$50)-Assumptions!$G$37)/(1+Assumptions!$B$54)^2+(IS!$F$14*(1+$A46)^3)*(D$43*(1-Assumptions!$B$50)-Assumptions!$G$37)/(1+Assumptions!$B$54)^3+(IS!$F$14*(1+$A46)^4)*(D$43*(1-Assumptions!$B$50)-Assumptions!$G$37)/(1+Assumptions!$B$54)^4+(IS!$F$14*(1+$A46)^4)*(D$43*(1-Assumptions!$B$50)-Assumptions!$G$37)*(1+Assumptions!$B$55)/(Assumptions!$B$54-Assumptions!$B$55)/(1+Assumptions!$B$54)^4+(BS!$F$5+BS!$F$6+BS!$F$15-BS!$F$42))/Assumptions!$B$58</f>
        <v>163.65572536273871</v>
      </c>
      <c r="E46" s="136">
        <f>((IS!$F$14*(1+$A46))*(E$43*(1-Assumptions!$B$50)-Assumptions!$G$37)/(1+Assumptions!$B$54)^1+(IS!$F$14*(1+$A46)^2)*(E$43*(1-Assumptions!$B$50)-Assumptions!$G$37)/(1+Assumptions!$B$54)^2+(IS!$F$14*(1+$A46)^3)*(E$43*(1-Assumptions!$B$50)-Assumptions!$G$37)/(1+Assumptions!$B$54)^3+(IS!$F$14*(1+$A46)^4)*(E$43*(1-Assumptions!$B$50)-Assumptions!$G$37)/(1+Assumptions!$B$54)^4+(IS!$F$14*(1+$A46)^4)*(E$43*(1-Assumptions!$B$50)-Assumptions!$G$37)*(1+Assumptions!$B$55)/(Assumptions!$B$54-Assumptions!$B$55)/(1+Assumptions!$B$54)^4+(BS!$F$5+BS!$F$6+BS!$F$15-BS!$F$42))/Assumptions!$B$58</f>
        <v>174.55762385053382</v>
      </c>
      <c r="F46" s="136">
        <f>((IS!$F$14*(1+$A46))*(F$43*(1-Assumptions!$B$50)-Assumptions!$G$37)/(1+Assumptions!$B$54)^1+(IS!$F$14*(1+$A46)^2)*(F$43*(1-Assumptions!$B$50)-Assumptions!$G$37)/(1+Assumptions!$B$54)^2+(IS!$F$14*(1+$A46)^3)*(F$43*(1-Assumptions!$B$50)-Assumptions!$G$37)/(1+Assumptions!$B$54)^3+(IS!$F$14*(1+$A46)^4)*(F$43*(1-Assumptions!$B$50)-Assumptions!$G$37)/(1+Assumptions!$B$54)^4+(IS!$F$14*(1+$A46)^4)*(F$43*(1-Assumptions!$B$50)-Assumptions!$G$37)*(1+Assumptions!$B$55)/(Assumptions!$B$54-Assumptions!$B$55)/(1+Assumptions!$B$54)^4+(BS!$F$5+BS!$F$6+BS!$F$15-BS!$F$42))/Assumptions!$B$58</f>
        <v>185.45952233832892</v>
      </c>
    </row>
    <row r="47" spans="1:8">
      <c r="A47" s="32">
        <v>6.5000000000000002E-2</v>
      </c>
      <c r="B47" s="136">
        <f>((IS!$F$14*(1+$A47))*(B$43*(1-Assumptions!$B$50)-Assumptions!$G$37)/(1+Assumptions!$B$54)^1+(IS!$F$14*(1+$A47)^2)*(B$43*(1-Assumptions!$B$50)-Assumptions!$G$37)/(1+Assumptions!$B$54)^2+(IS!$F$14*(1+$A47)^3)*(B$43*(1-Assumptions!$B$50)-Assumptions!$G$37)/(1+Assumptions!$B$54)^3+(IS!$F$14*(1+$A47)^4)*(B$43*(1-Assumptions!$B$50)-Assumptions!$G$37)/(1+Assumptions!$B$54)^4+(IS!$F$14*(1+$A47)^4)*(B$43*(1-Assumptions!$B$50)-Assumptions!$G$37)*(1+Assumptions!$B$55)/(Assumptions!$B$54-Assumptions!$B$55)/(1+Assumptions!$B$54)^4+(BS!$F$5+BS!$F$6+BS!$F$15-BS!$F$42))/Assumptions!$B$58</f>
        <v>149.43031796497138</v>
      </c>
      <c r="C47" s="136">
        <f>((IS!$F$14*(1+$A47))*(C$43*(1-Assumptions!$B$50)-Assumptions!$G$37)/(1+Assumptions!$B$54)^1+(IS!$F$14*(1+$A47)^2)*(C$43*(1-Assumptions!$B$50)-Assumptions!$G$37)/(1+Assumptions!$B$54)^2+(IS!$F$14*(1+$A47)^3)*(C$43*(1-Assumptions!$B$50)-Assumptions!$G$37)/(1+Assumptions!$B$54)^3+(IS!$F$14*(1+$A47)^4)*(C$43*(1-Assumptions!$B$50)-Assumptions!$G$37)/(1+Assumptions!$B$54)^4+(IS!$F$14*(1+$A47)^4)*(C$43*(1-Assumptions!$B$50)-Assumptions!$G$37)*(1+Assumptions!$B$55)/(Assumptions!$B$54-Assumptions!$B$55)/(1+Assumptions!$B$54)^4+(BS!$F$5+BS!$F$6+BS!$F$15-BS!$F$42))/Assumptions!$B$58</f>
        <v>160.92866378065071</v>
      </c>
      <c r="D47" s="136">
        <f>((IS!$F$14*(1+$A47))*(D$43*(1-Assumptions!$B$50)-Assumptions!$G$37)/(1+Assumptions!$B$54)^1+(IS!$F$14*(1+$A47)^2)*(D$43*(1-Assumptions!$B$50)-Assumptions!$G$37)/(1+Assumptions!$B$54)^2+(IS!$F$14*(1+$A47)^3)*(D$43*(1-Assumptions!$B$50)-Assumptions!$G$37)/(1+Assumptions!$B$54)^3+(IS!$F$14*(1+$A47)^4)*(D$43*(1-Assumptions!$B$50)-Assumptions!$G$37)/(1+Assumptions!$B$54)^4+(IS!$F$14*(1+$A47)^4)*(D$43*(1-Assumptions!$B$50)-Assumptions!$G$37)*(1+Assumptions!$B$55)/(Assumptions!$B$54-Assumptions!$B$55)/(1+Assumptions!$B$54)^4+(BS!$F$5+BS!$F$6+BS!$F$15-BS!$F$42))/Assumptions!$B$58</f>
        <v>172.42700959633004</v>
      </c>
      <c r="E47" s="136">
        <f>((IS!$F$14*(1+$A47))*(E$43*(1-Assumptions!$B$50)-Assumptions!$G$37)/(1+Assumptions!$B$54)^1+(IS!$F$14*(1+$A47)^2)*(E$43*(1-Assumptions!$B$50)-Assumptions!$G$37)/(1+Assumptions!$B$54)^2+(IS!$F$14*(1+$A47)^3)*(E$43*(1-Assumptions!$B$50)-Assumptions!$G$37)/(1+Assumptions!$B$54)^3+(IS!$F$14*(1+$A47)^4)*(E$43*(1-Assumptions!$B$50)-Assumptions!$G$37)/(1+Assumptions!$B$54)^4+(IS!$F$14*(1+$A47)^4)*(E$43*(1-Assumptions!$B$50)-Assumptions!$G$37)*(1+Assumptions!$B$55)/(Assumptions!$B$54-Assumptions!$B$55)/(1+Assumptions!$B$54)^4+(BS!$F$5+BS!$F$6+BS!$F$15-BS!$F$42))/Assumptions!$B$58</f>
        <v>183.9253554120094</v>
      </c>
      <c r="F47" s="136">
        <f>((IS!$F$14*(1+$A47))*(F$43*(1-Assumptions!$B$50)-Assumptions!$G$37)/(1+Assumptions!$B$54)^1+(IS!$F$14*(1+$A47)^2)*(F$43*(1-Assumptions!$B$50)-Assumptions!$G$37)/(1+Assumptions!$B$54)^2+(IS!$F$14*(1+$A47)^3)*(F$43*(1-Assumptions!$B$50)-Assumptions!$G$37)/(1+Assumptions!$B$54)^3+(IS!$F$14*(1+$A47)^4)*(F$43*(1-Assumptions!$B$50)-Assumptions!$G$37)/(1+Assumptions!$B$54)^4+(IS!$F$14*(1+$A47)^4)*(F$43*(1-Assumptions!$B$50)-Assumptions!$G$37)*(1+Assumptions!$B$55)/(Assumptions!$B$54-Assumptions!$B$55)/(1+Assumptions!$B$54)^4+(BS!$F$5+BS!$F$6+BS!$F$15-BS!$F$42))/Assumptions!$B$58</f>
        <v>195.42370122768867</v>
      </c>
    </row>
    <row r="48" spans="1:8">
      <c r="A48" s="32">
        <v>0.08</v>
      </c>
      <c r="B48" s="136">
        <f>((IS!$F$14*(1+$A48))*(B$43*(1-Assumptions!$B$50)-Assumptions!$G$37)/(1+Assumptions!$B$54)^1+(IS!$F$14*(1+$A48)^2)*(B$43*(1-Assumptions!$B$50)-Assumptions!$G$37)/(1+Assumptions!$B$54)^2+(IS!$F$14*(1+$A48)^3)*(B$43*(1-Assumptions!$B$50)-Assumptions!$G$37)/(1+Assumptions!$B$54)^3+(IS!$F$14*(1+$A48)^4)*(B$43*(1-Assumptions!$B$50)-Assumptions!$G$37)/(1+Assumptions!$B$54)^4+(IS!$F$14*(1+$A48)^4)*(B$43*(1-Assumptions!$B$50)-Assumptions!$G$37)*(1+Assumptions!$B$55)/(Assumptions!$B$54-Assumptions!$B$55)/(1+Assumptions!$B$54)^4+(BS!$F$5+BS!$F$6+BS!$F$15-BS!$F$42))/Assumptions!$B$58</f>
        <v>157.3239269623719</v>
      </c>
      <c r="C48" s="136">
        <f>((IS!$F$14*(1+$A48))*(C$43*(1-Assumptions!$B$50)-Assumptions!$G$37)/(1+Assumptions!$B$54)^1+(IS!$F$14*(1+$A48)^2)*(C$43*(1-Assumptions!$B$50)-Assumptions!$G$37)/(1+Assumptions!$B$54)^2+(IS!$F$14*(1+$A48)^3)*(C$43*(1-Assumptions!$B$50)-Assumptions!$G$37)/(1+Assumptions!$B$54)^3+(IS!$F$14*(1+$A48)^4)*(C$43*(1-Assumptions!$B$50)-Assumptions!$G$37)/(1+Assumptions!$B$54)^4+(IS!$F$14*(1+$A48)^4)*(C$43*(1-Assumptions!$B$50)-Assumptions!$G$37)*(1+Assumptions!$B$55)/(Assumptions!$B$54-Assumptions!$B$55)/(1+Assumptions!$B$54)^4+(BS!$F$5+BS!$F$6+BS!$F$15-BS!$F$42))/Assumptions!$B$58</f>
        <v>169.44352904173556</v>
      </c>
      <c r="D48" s="136">
        <f>((IS!$F$14*(1+$A48))*(D$43*(1-Assumptions!$B$50)-Assumptions!$G$37)/(1+Assumptions!$B$54)^1+(IS!$F$14*(1+$A48)^2)*(D$43*(1-Assumptions!$B$50)-Assumptions!$G$37)/(1+Assumptions!$B$54)^2+(IS!$F$14*(1+$A48)^3)*(D$43*(1-Assumptions!$B$50)-Assumptions!$G$37)/(1+Assumptions!$B$54)^3+(IS!$F$14*(1+$A48)^4)*(D$43*(1-Assumptions!$B$50)-Assumptions!$G$37)/(1+Assumptions!$B$54)^4+(IS!$F$14*(1+$A48)^4)*(D$43*(1-Assumptions!$B$50)-Assumptions!$G$37)*(1+Assumptions!$B$55)/(Assumptions!$B$54-Assumptions!$B$55)/(1+Assumptions!$B$54)^4+(BS!$F$5+BS!$F$6+BS!$F$15-BS!$F$42))/Assumptions!$B$58</f>
        <v>181.56313112109913</v>
      </c>
      <c r="E48" s="136">
        <f>((IS!$F$14*(1+$A48))*(E$43*(1-Assumptions!$B$50)-Assumptions!$G$37)/(1+Assumptions!$B$54)^1+(IS!$F$14*(1+$A48)^2)*(E$43*(1-Assumptions!$B$50)-Assumptions!$G$37)/(1+Assumptions!$B$54)^2+(IS!$F$14*(1+$A48)^3)*(E$43*(1-Assumptions!$B$50)-Assumptions!$G$37)/(1+Assumptions!$B$54)^3+(IS!$F$14*(1+$A48)^4)*(E$43*(1-Assumptions!$B$50)-Assumptions!$G$37)/(1+Assumptions!$B$54)^4+(IS!$F$14*(1+$A48)^4)*(E$43*(1-Assumptions!$B$50)-Assumptions!$G$37)*(1+Assumptions!$B$55)/(Assumptions!$B$54-Assumptions!$B$55)/(1+Assumptions!$B$54)^4+(BS!$F$5+BS!$F$6+BS!$F$15-BS!$F$42))/Assumptions!$B$58</f>
        <v>193.68273320046276</v>
      </c>
      <c r="F48" s="136">
        <f>((IS!$F$14*(1+$A48))*(F$43*(1-Assumptions!$B$50)-Assumptions!$G$37)/(1+Assumptions!$B$54)^1+(IS!$F$14*(1+$A48)^2)*(F$43*(1-Assumptions!$B$50)-Assumptions!$G$37)/(1+Assumptions!$B$54)^2+(IS!$F$14*(1+$A48)^3)*(F$43*(1-Assumptions!$B$50)-Assumptions!$G$37)/(1+Assumptions!$B$54)^3+(IS!$F$14*(1+$A48)^4)*(F$43*(1-Assumptions!$B$50)-Assumptions!$G$37)/(1+Assumptions!$B$54)^4+(IS!$F$14*(1+$A48)^4)*(F$43*(1-Assumptions!$B$50)-Assumptions!$G$37)*(1+Assumptions!$B$55)/(Assumptions!$B$54-Assumptions!$B$55)/(1+Assumptions!$B$54)^4+(BS!$F$5+BS!$F$6+BS!$F$15-BS!$F$42))/Assumptions!$B$58</f>
        <v>205.80233527982637</v>
      </c>
    </row>
    <row r="51" spans="1:7">
      <c r="A51" s="11" t="s">
        <v>380</v>
      </c>
      <c r="B51" s="12"/>
      <c r="C51" s="12"/>
      <c r="D51" s="12"/>
      <c r="E51" s="12"/>
      <c r="F51" s="12"/>
      <c r="G51" s="12"/>
    </row>
    <row r="52" spans="1:7">
      <c r="A52" s="18" t="s">
        <v>7</v>
      </c>
      <c r="B52" s="18" t="s">
        <v>381</v>
      </c>
      <c r="C52" s="18" t="s">
        <v>382</v>
      </c>
      <c r="D52" s="18" t="s">
        <v>383</v>
      </c>
      <c r="E52" s="18" t="s">
        <v>384</v>
      </c>
      <c r="F52" s="18" t="s">
        <v>385</v>
      </c>
      <c r="G52" s="18" t="s">
        <v>52</v>
      </c>
    </row>
    <row r="53" spans="1:7">
      <c r="A53" s="33" t="s">
        <v>386</v>
      </c>
      <c r="B53" s="34" t="s">
        <v>387</v>
      </c>
      <c r="C53" s="35" t="s">
        <v>388</v>
      </c>
      <c r="D53" s="280">
        <f>((IS!$F$14*(1+(AVERAGE(Assumptions!$G$8:$J$8))-0.01))*((AVERAGE(IS!$G$29:$J$29))*(1-(Assumptions!$B$50))-(Assumptions!$G$37))/(1+(Assumptions!$B$54))^1+(IS!$F$14*(1+(AVERAGE(Assumptions!$G$8:$J$8))-0.01)^2)*((AVERAGE(IS!$G$29:$J$29))*(1-(Assumptions!$B$50))-(Assumptions!$G$37))/(1+(Assumptions!$B$54))^2+(IS!$F$14*(1+(AVERAGE(Assumptions!$G$8:$J$8))-0.01)^3)*((AVERAGE(IS!$G$29:$J$29))*(1-(Assumptions!$B$50))-(Assumptions!$G$37))/(1+(Assumptions!$B$54))^3+(IS!$F$14*(1+(AVERAGE(Assumptions!$G$8:$J$8))-0.01)^4)*((AVERAGE(IS!$G$29:$J$29))*(1-(Assumptions!$B$50))-(Assumptions!$G$37))/(1+(Assumptions!$B$54))^4+(IS!$F$14*(1+(AVERAGE(Assumptions!$G$8:$J$8))-0.01)^4)*((AVERAGE(IS!$G$29:$J$29))*(1-(Assumptions!$B$50))-(Assumptions!$G$37))*(1+(Assumptions!$B$55))/((Assumptions!$B$54)-(Assumptions!$B$55))/(1+(Assumptions!$B$54))^4+(BS!$F$5+BS!$F$6+BS!$F$15-BS!$F$42))/Assumptions!$B$58</f>
        <v>198.07459595608191</v>
      </c>
      <c r="E53" s="281">
        <f>((IS!$F$14*(1+(AVERAGE(Assumptions!$G$8:$J$8))+0.01))*((AVERAGE(IS!$G$29:$J$29))*(1-(Assumptions!$B$50))-(Assumptions!$G$37))/(1+(Assumptions!$B$54))^1+(IS!$F$14*(1+(AVERAGE(Assumptions!$G$8:$J$8))+0.01)^2)*((AVERAGE(IS!$G$29:$J$29))*(1-(Assumptions!$B$50))-(Assumptions!$G$37))/(1+(Assumptions!$B$54))^2+(IS!$F$14*(1+(AVERAGE(Assumptions!$G$8:$J$8))+0.01)^3)*((AVERAGE(IS!$G$29:$J$29))*(1-(Assumptions!$B$50))-(Assumptions!$G$37))/(1+(Assumptions!$B$54))^3+(IS!$F$14*(1+(AVERAGE(Assumptions!$G$8:$J$8))+0.01)^4)*((AVERAGE(IS!$G$29:$J$29))*(1-(Assumptions!$B$50))-(Assumptions!$G$37))/(1+(Assumptions!$B$54))^4+(IS!$F$14*(1+(AVERAGE(Assumptions!$G$8:$J$8))+0.01)^4)*((AVERAGE(IS!$G$29:$J$29))*(1-(Assumptions!$B$50))-(Assumptions!$G$37))*(1+(Assumptions!$B$55))/((Assumptions!$B$54)-(Assumptions!$B$55))/(1+(Assumptions!$B$54))^4+(BS!$F$5+BS!$F$6+BS!$F$15-BS!$F$42))/Assumptions!$B$58</f>
        <v>212.36279668890964</v>
      </c>
      <c r="F53" s="4">
        <f t="shared" ref="F53:F58" si="0">ABS(E53-D53)</f>
        <v>14.288200732827733</v>
      </c>
      <c r="G53" s="15" t="s">
        <v>389</v>
      </c>
    </row>
    <row r="54" spans="1:7">
      <c r="A54" s="33" t="s">
        <v>390</v>
      </c>
      <c r="B54" s="34" t="s">
        <v>391</v>
      </c>
      <c r="C54" s="35" t="s">
        <v>392</v>
      </c>
      <c r="D54" s="280">
        <f>((IS!$F$14*(1+AVERAGE(Assumptions!$G$8:$J$8)))*(((AVERAGE(IS!$G$29:$J$29))-0.02)*(1-(Assumptions!$B$50))-(Assumptions!$G$37))/(1+(Assumptions!$B$54))^1+(IS!$F$14*(1+AVERAGE(Assumptions!$G$8:$J$8))^2)*(((AVERAGE(IS!$G$29:$J$29))-0.02)*(1-(Assumptions!$B$50))-(Assumptions!$G$37))/(1+(Assumptions!$B$54))^2+(IS!$F$14*(1+AVERAGE(Assumptions!$G$8:$J$8))^3)*(((AVERAGE(IS!$G$29:$J$29))-0.02)*(1-(Assumptions!$B$50))-(Assumptions!$G$37))/(1+(Assumptions!$B$54))^3+(IS!$F$14*(1+AVERAGE(Assumptions!$G$8:$J$8))^4)*(((AVERAGE(IS!$G$29:$J$29))-0.02)*(1-(Assumptions!$B$50))-(Assumptions!$G$37))/(1+(Assumptions!$B$54))^4+(IS!$F$14*(1+AVERAGE(Assumptions!$G$8:$J$8))^4)*(((AVERAGE(IS!$G$29:$J$29))-0.02)*(1-(Assumptions!$B$50))-(Assumptions!$G$37))*(1+(Assumptions!$B$55))/((Assumptions!$B$54)-(Assumptions!$B$55))/(1+(Assumptions!$B$54))^4+(BS!$F$5+BS!$F$6+BS!$F$15-BS!$F$42))/Assumptions!$B$58</f>
        <v>193.77307174746122</v>
      </c>
      <c r="E54" s="281">
        <f>((IS!$F$14*(1+AVERAGE(Assumptions!$G$8:$J$8)))*(((AVERAGE(IS!$G$29:$J$29))+0.02)*(1-(Assumptions!$B$50))-(Assumptions!$G$37))/(1+(Assumptions!$B$54))^1+(IS!$F$14*(1+AVERAGE(Assumptions!$G$8:$J$8))^2)*(((AVERAGE(IS!$G$29:$J$29))+0.02)*(1-(Assumptions!$B$50))-(Assumptions!$G$37))/(1+(Assumptions!$B$54))^2+(IS!$F$14*(1+AVERAGE(Assumptions!$G$8:$J$8))^3)*(((AVERAGE(IS!$G$29:$J$29))+0.02)*(1-(Assumptions!$B$50))-(Assumptions!$G$37))/(1+(Assumptions!$B$54))^3+(IS!$F$14*(1+AVERAGE(Assumptions!$G$8:$J$8))^4)*(((AVERAGE(IS!$G$29:$J$29))+0.02)*(1-(Assumptions!$B$50))-(Assumptions!$G$37))/(1+(Assumptions!$B$54))^4+(IS!$F$14*(1+AVERAGE(Assumptions!$G$8:$J$8))^4)*(((AVERAGE(IS!$G$29:$J$29))+0.02)*(1-(Assumptions!$B$50))-(Assumptions!$G$37))*(1+(Assumptions!$B$55))/((Assumptions!$B$54)-(Assumptions!$B$55))/(1+(Assumptions!$B$54))^4+(BS!$F$5+BS!$F$6+BS!$F$15-BS!$F$42))/Assumptions!$B$58</f>
        <v>216.46960477671334</v>
      </c>
      <c r="F54" s="4">
        <f t="shared" si="0"/>
        <v>22.696533029252123</v>
      </c>
      <c r="G54" s="15" t="s">
        <v>393</v>
      </c>
    </row>
    <row r="55" spans="1:7">
      <c r="A55" s="33" t="s">
        <v>270</v>
      </c>
      <c r="B55" s="34" t="s">
        <v>394</v>
      </c>
      <c r="C55" s="35" t="s">
        <v>395</v>
      </c>
      <c r="D55" s="280">
        <f>((IS!$F$14*(1+AVERAGE(Assumptions!$G$8:$J$8)))*((AVERAGE(IS!$G$29:$J$29))*(1-(Assumptions!$B$50))-(Assumptions!$G$37))/(1+((Assumptions!$B$54)+0.01))^1+(IS!$F$14*(1+AVERAGE(Assumptions!$G$8:$J$8))^2)*((AVERAGE(IS!$G$29:$J$29))*(1-(Assumptions!$B$50))-(Assumptions!$G$37))/(1+((Assumptions!$B$54)+0.01))^2+(IS!$F$14*(1+AVERAGE(Assumptions!$G$8:$J$8))^3)*((AVERAGE(IS!$G$29:$J$29))*(1-(Assumptions!$B$50))-(Assumptions!$G$37))/(1+((Assumptions!$B$54)+0.01))^3+(IS!$F$14*(1+AVERAGE(Assumptions!$G$8:$J$8))^4)*((AVERAGE(IS!$G$29:$J$29))*(1-(Assumptions!$B$50))-(Assumptions!$G$37))/(1+((Assumptions!$B$54)+0.01))^4+(IS!$F$14*(1+AVERAGE(Assumptions!$G$8:$J$8))^4)*((AVERAGE(IS!$G$29:$J$29))*(1-(Assumptions!$B$50))-(Assumptions!$G$37))*(1+(Assumptions!$B$55))/(((Assumptions!$B$54)+0.01)-(Assumptions!$B$55))/(1+((Assumptions!$B$54)+0.01))^4+(BS!$F$5+BS!$F$6+BS!$F$15-BS!$F$42))/Assumptions!$B$58</f>
        <v>170.01561295579484</v>
      </c>
      <c r="E55" s="281">
        <f>((IS!$F$14*(1+AVERAGE(Assumptions!$G$8:$J$8)))*((AVERAGE(IS!$G$29:$J$29))*(1-(Assumptions!$B$50))-(Assumptions!$G$37))/(1+((Assumptions!$B$54)-0.01))^1+(IS!$F$14*(1+AVERAGE(Assumptions!$G$8:$J$8))^2)*((AVERAGE(IS!$G$29:$J$29))*(1-(Assumptions!$B$50))-(Assumptions!$G$37))/(1+((Assumptions!$B$54)-0.01))^2+(IS!$F$14*(1+AVERAGE(Assumptions!$G$8:$J$8))^3)*((AVERAGE(IS!$G$29:$J$29))*(1-(Assumptions!$B$50))-(Assumptions!$G$37))/(1+((Assumptions!$B$54)-0.01))^3+(IS!$F$14*(1+AVERAGE(Assumptions!$G$8:$J$8))^4)*((AVERAGE(IS!$G$29:$J$29))*(1-(Assumptions!$B$50))-(Assumptions!$G$37))/(1+((Assumptions!$B$54)-0.01))^4+(IS!$F$14*(1+AVERAGE(Assumptions!$G$8:$J$8))^4)*((AVERAGE(IS!$G$29:$J$29))*(1-(Assumptions!$B$50))-(Assumptions!$G$37))*(1+(Assumptions!$B$55))/(((Assumptions!$B$54)-0.01)-(Assumptions!$B$55))/(1+((Assumptions!$B$54)-0.01))^4+(BS!$F$5+BS!$F$6+BS!$F$15-BS!$F$42))/Assumptions!$B$58</f>
        <v>258.77621015727937</v>
      </c>
      <c r="F55" s="4">
        <f t="shared" si="0"/>
        <v>88.760597201484529</v>
      </c>
      <c r="G55" s="15" t="s">
        <v>396</v>
      </c>
    </row>
    <row r="56" spans="1:7">
      <c r="A56" s="33" t="s">
        <v>397</v>
      </c>
      <c r="B56" s="34" t="s">
        <v>398</v>
      </c>
      <c r="C56" s="35" t="s">
        <v>399</v>
      </c>
      <c r="D56" s="280">
        <f>((IS!$F$14*(1+AVERAGE(Assumptions!$G$8:$J$8)))*((AVERAGE(IS!$G$29:$J$29))*(1-(Assumptions!$B$50))-(Assumptions!$G$37))/(1+(Assumptions!$B$54))^1+(IS!$F$14*(1+AVERAGE(Assumptions!$G$8:$J$8))^2)*((AVERAGE(IS!$G$29:$J$29))*(1-(Assumptions!$B$50))-(Assumptions!$G$37))/(1+(Assumptions!$B$54))^2+(IS!$F$14*(1+AVERAGE(Assumptions!$G$8:$J$8))^3)*((AVERAGE(IS!$G$29:$J$29))*(1-(Assumptions!$B$50))-(Assumptions!$G$37))/(1+(Assumptions!$B$54))^3+(IS!$F$14*(1+AVERAGE(Assumptions!$G$8:$J$8))^4)*((AVERAGE(IS!$G$29:$J$29))*(1-(Assumptions!$B$50))-(Assumptions!$G$37))/(1+(Assumptions!$B$54))^4+(IS!$F$14*(1+AVERAGE(Assumptions!$G$8:$J$8))^4)*((AVERAGE(IS!$G$29:$J$29))*(1-(Assumptions!$B$50))-(Assumptions!$G$37))*(1+((Assumptions!$B$55)-0.005))/((Assumptions!$B$54)-((Assumptions!$B$55)-0.005))/(1+(Assumptions!$B$54))^4+(BS!$F$5+BS!$F$6+BS!$F$15-BS!$F$42))/Assumptions!$B$58</f>
        <v>188.34571174197711</v>
      </c>
      <c r="E56" s="281">
        <f>((IS!$F$14*(1+AVERAGE(Assumptions!$G$8:$J$8)))*((AVERAGE(IS!$G$29:$J$29))*(1-(Assumptions!$B$50))-(Assumptions!$G$37))/(1+(Assumptions!$B$54))^1+(IS!$F$14*(1+AVERAGE(Assumptions!$G$8:$J$8))^2)*((AVERAGE(IS!$G$29:$J$29))*(1-(Assumptions!$B$50))-(Assumptions!$G$37))/(1+(Assumptions!$B$54))^2+(IS!$F$14*(1+AVERAGE(Assumptions!$G$8:$J$8))^3)*((AVERAGE(IS!$G$29:$J$29))*(1-(Assumptions!$B$50))-(Assumptions!$G$37))/(1+(Assumptions!$B$54))^3+(IS!$F$14*(1+AVERAGE(Assumptions!$G$8:$J$8))^4)*((AVERAGE(IS!$G$29:$J$29))*(1-(Assumptions!$B$50))-(Assumptions!$G$37))/(1+(Assumptions!$B$54))^4+(IS!$F$14*(1+AVERAGE(Assumptions!$G$8:$J$8))^4)*((AVERAGE(IS!$G$29:$J$29))*(1-(Assumptions!$B$50))-(Assumptions!$G$37))*(1+((Assumptions!$B$55)+0.005))/((Assumptions!$B$54)-((Assumptions!$B$55)+0.005))/(1+(Assumptions!$B$54))^4+(BS!$F$5+BS!$F$6+BS!$F$15-BS!$F$42))/Assumptions!$B$58</f>
        <v>225.8096473524854</v>
      </c>
      <c r="F56" s="4">
        <f t="shared" si="0"/>
        <v>37.463935610508287</v>
      </c>
      <c r="G56" s="15" t="s">
        <v>400</v>
      </c>
    </row>
    <row r="57" spans="1:7">
      <c r="A57" s="33" t="s">
        <v>249</v>
      </c>
      <c r="B57" s="34" t="s">
        <v>392</v>
      </c>
      <c r="C57" s="35" t="s">
        <v>391</v>
      </c>
      <c r="D57" s="280">
        <f>((IS!$F$14*(1+AVERAGE(Assumptions!$G$8:$J$8)))*((AVERAGE(IS!$G$29:$J$29))*(1-((Assumptions!$B$50)+0.02))-(Assumptions!$G$37))/(1+(Assumptions!$B$54))^1+(IS!$F$14*(1+AVERAGE(Assumptions!$G$8:$J$8))^2)*((AVERAGE(IS!$G$29:$J$29))*(1-((Assumptions!$B$50)+0.02))-(Assumptions!$G$37))/(1+(Assumptions!$B$54))^2+(IS!$F$14*(1+AVERAGE(Assumptions!$G$8:$J$8))^3)*((AVERAGE(IS!$G$29:$J$29))*(1-((Assumptions!$B$50)+0.02))-(Assumptions!$G$37))/(1+(Assumptions!$B$54))^3+(IS!$F$14*(1+AVERAGE(Assumptions!$G$8:$J$8))^4)*((AVERAGE(IS!$G$29:$J$29))*(1-((Assumptions!$B$50)+0.02))-(Assumptions!$G$37))/(1+(Assumptions!$B$54))^4+(IS!$F$14*(1+AVERAGE(Assumptions!$G$8:$J$8))^4)*((AVERAGE(IS!$G$29:$J$29))*(1-((Assumptions!$B$50)+0.02))-(Assumptions!$G$37))*(1+(Assumptions!$B$55))/((Assumptions!$B$54)-(Assumptions!$B$55))/(1+(Assumptions!$B$54))^4+(BS!$F$5+BS!$F$6+BS!$F$15-BS!$F$42))/Assumptions!$B$58</f>
        <v>200.0278408163303</v>
      </c>
      <c r="E57" s="281">
        <f>((IS!$F$14*(1+AVERAGE(Assumptions!$G$8:$J$8)))*((AVERAGE(IS!$G$29:$J$29))*(1-((Assumptions!$B$50)-0.02))-(Assumptions!$G$37))/(1+(Assumptions!$B$54))^1+(IS!$F$14*(1+AVERAGE(Assumptions!$G$8:$J$8))^2)*((AVERAGE(IS!$G$29:$J$29))*(1-((Assumptions!$B$50)-0.02))-(Assumptions!$G$37))/(1+(Assumptions!$B$54))^2+(IS!$F$14*(1+AVERAGE(Assumptions!$G$8:$J$8))^3)*((AVERAGE(IS!$G$29:$J$29))*(1-((Assumptions!$B$50)-0.02))-(Assumptions!$G$37))/(1+(Assumptions!$B$54))^3+(IS!$F$14*(1+AVERAGE(Assumptions!$G$8:$J$8))^4)*((AVERAGE(IS!$G$29:$J$29))*(1-((Assumptions!$B$50)-0.02))-(Assumptions!$G$37))/(1+(Assumptions!$B$54))^4+(IS!$F$14*(1+AVERAGE(Assumptions!$G$8:$J$8))^4)*((AVERAGE(IS!$G$29:$J$29))*(1-((Assumptions!$B$50)-0.02))-(Assumptions!$G$37))*(1+(Assumptions!$B$55))/((Assumptions!$B$54)-(Assumptions!$B$55))/(1+(Assumptions!$B$54))^4+(BS!$F$5+BS!$F$6+BS!$F$15-BS!$F$42))/Assumptions!$B$58</f>
        <v>210.21483570784437</v>
      </c>
      <c r="F57" s="4">
        <f t="shared" si="0"/>
        <v>10.186994891514075</v>
      </c>
      <c r="G57" s="15" t="s">
        <v>401</v>
      </c>
    </row>
    <row r="58" spans="1:7">
      <c r="A58" s="33" t="s">
        <v>402</v>
      </c>
      <c r="B58" s="34" t="s">
        <v>399</v>
      </c>
      <c r="C58" s="35" t="s">
        <v>398</v>
      </c>
      <c r="D58" s="280">
        <f>((IS!$F$14*(1+AVERAGE(Assumptions!$G$8:$J$8)))*((AVERAGE(IS!$G$29:$J$29))*(1-(Assumptions!$B$50))-((Assumptions!$G$37)+0.005))/(1+(Assumptions!$B$54))^1+(IS!$F$14*(1+AVERAGE(Assumptions!$G$8:$J$8))^2)*((AVERAGE(IS!$G$29:$J$29))*(1-(Assumptions!$B$50))-((Assumptions!$G$37)+0.005))/(1+(Assumptions!$B$54))^2+(IS!$F$14*(1+AVERAGE(Assumptions!$G$8:$J$8))^3)*((AVERAGE(IS!$G$29:$J$29))*(1-(Assumptions!$B$50))-((Assumptions!$G$37)+0.005))/(1+(Assumptions!$B$54))^3+(IS!$F$14*(1+AVERAGE(Assumptions!$G$8:$J$8))^4)*((AVERAGE(IS!$G$29:$J$29))*(1-(Assumptions!$B$50))-((Assumptions!$G$37)+0.005))/(1+(Assumptions!$B$54))^4+(IS!$F$14*(1+AVERAGE(Assumptions!$G$8:$J$8))^4)*((AVERAGE(IS!$G$29:$J$29))*(1-(Assumptions!$B$50))-((Assumptions!$G$37)+0.005))*(1+(Assumptions!$B$55))/((Assumptions!$B$54)-(Assumptions!$B$55))/(1+(Assumptions!$B$54))^4+(BS!$F$5+BS!$F$6+BS!$F$15-BS!$F$42))/Assumptions!$B$58</f>
        <v>201.78361281660906</v>
      </c>
      <c r="E58" s="281">
        <f>((IS!$F$14*(1+AVERAGE(Assumptions!$G$8:$J$8)))*((AVERAGE(IS!$G$29:$J$29))*(1-(Assumptions!$B$50))-((Assumptions!$G$37)-0.005))/(1+(Assumptions!$B$54))^1+(IS!$F$14*(1+AVERAGE(Assumptions!$G$8:$J$8))^2)*((AVERAGE(IS!$G$29:$J$29))*(1-(Assumptions!$B$50))-((Assumptions!$G$37)-0.005))/(1+(Assumptions!$B$54))^2+(IS!$F$14*(1+AVERAGE(Assumptions!$G$8:$J$8))^3)*((AVERAGE(IS!$G$29:$J$29))*(1-(Assumptions!$B$50))-((Assumptions!$G$37)-0.005))/(1+(Assumptions!$B$54))^3+(IS!$F$14*(1+AVERAGE(Assumptions!$G$8:$J$8))^4)*((AVERAGE(IS!$G$29:$J$29))*(1-(Assumptions!$B$50))-((Assumptions!$G$37)-0.005))/(1+(Assumptions!$B$54))^4+(IS!$F$14*(1+AVERAGE(Assumptions!$G$8:$J$8))^4)*((AVERAGE(IS!$G$29:$J$29))*(1-(Assumptions!$B$50))-((Assumptions!$G$37)-0.005))*(1+(Assumptions!$B$55))/((Assumptions!$B$54)-(Assumptions!$B$55))/(1+(Assumptions!$B$54))^4+(BS!$F$5+BS!$F$6+BS!$F$15-BS!$F$42))/Assumptions!$B$58</f>
        <v>208.45906370756552</v>
      </c>
      <c r="F58" s="4">
        <f t="shared" si="0"/>
        <v>6.6754508909564549</v>
      </c>
      <c r="G58" s="15" t="s">
        <v>403</v>
      </c>
    </row>
    <row r="64" spans="1:7">
      <c r="A64" s="11" t="s">
        <v>404</v>
      </c>
      <c r="B64" s="12"/>
      <c r="C64" s="12"/>
      <c r="D64" s="12"/>
      <c r="E64" s="12"/>
      <c r="F64" s="12"/>
      <c r="G64" s="12"/>
    </row>
    <row r="65" spans="1:6">
      <c r="A65" s="18" t="s">
        <v>105</v>
      </c>
      <c r="B65" s="18" t="s">
        <v>8</v>
      </c>
      <c r="C65" s="18" t="s">
        <v>405</v>
      </c>
      <c r="D65" s="18" t="s">
        <v>9</v>
      </c>
      <c r="E65" s="18" t="s">
        <v>406</v>
      </c>
      <c r="F65" s="18" t="s">
        <v>52</v>
      </c>
    </row>
    <row r="66" spans="1:6">
      <c r="A66" s="33" t="s">
        <v>407</v>
      </c>
      <c r="B66" s="2">
        <f>B44</f>
        <v>127.60630412578597</v>
      </c>
      <c r="C66" s="36">
        <f>AVERAGE(B44:B45)</f>
        <v>131.09320308069044</v>
      </c>
      <c r="D66" s="3">
        <f>B45</f>
        <v>134.5801020355949</v>
      </c>
      <c r="E66" s="1">
        <f t="shared" ref="E66:E72" si="1">D66-B66</f>
        <v>6.9737979098089369</v>
      </c>
      <c r="F66" s="15" t="s">
        <v>408</v>
      </c>
    </row>
    <row r="67" spans="1:6">
      <c r="A67" s="33" t="s">
        <v>409</v>
      </c>
      <c r="B67" s="2">
        <f>C45</f>
        <v>144.90968085683258</v>
      </c>
      <c r="C67" s="36">
        <f>AVERAGE(C45:D46)</f>
        <v>154.13962319314629</v>
      </c>
      <c r="D67" s="3">
        <f>D46</f>
        <v>163.65572536273871</v>
      </c>
      <c r="E67" s="1">
        <f t="shared" si="1"/>
        <v>18.746044505906127</v>
      </c>
      <c r="F67" s="15" t="s">
        <v>410</v>
      </c>
    </row>
    <row r="68" spans="1:6">
      <c r="A68" s="33" t="s">
        <v>411</v>
      </c>
      <c r="B68" s="2">
        <f>E47</f>
        <v>183.9253554120094</v>
      </c>
      <c r="C68" s="36">
        <f>AVERAGE(E47:F48)</f>
        <v>194.70853127999681</v>
      </c>
      <c r="D68" s="3">
        <f>F48</f>
        <v>205.80233527982637</v>
      </c>
      <c r="E68" s="1">
        <f t="shared" si="1"/>
        <v>21.876979867816971</v>
      </c>
      <c r="F68" s="15" t="s">
        <v>412</v>
      </c>
    </row>
    <row r="69" spans="1:6">
      <c r="A69" s="33" t="s">
        <v>413</v>
      </c>
      <c r="B69" s="282">
        <f>IS!$J$38*22/Assumptions!$B$58</f>
        <v>292.13694552618279</v>
      </c>
      <c r="C69" s="283">
        <f>IS!$J$38*26/Assumptions!$B$58</f>
        <v>345.2527538036706</v>
      </c>
      <c r="D69" s="282">
        <f>IS!$J$38*30/Assumptions!$B$58</f>
        <v>398.36856208115836</v>
      </c>
      <c r="E69" s="1">
        <f t="shared" si="1"/>
        <v>106.23161655497557</v>
      </c>
      <c r="F69" s="15" t="s">
        <v>690</v>
      </c>
    </row>
    <row r="70" spans="1:6">
      <c r="A70" s="33" t="s">
        <v>23</v>
      </c>
      <c r="B70" s="284">
        <f>((IS!$J$28+CFS!$J$10)*16+(BS!$F$5+BS!$F$6+BS!$F$15-BS!$F$42))/Assumptions!$B$58</f>
        <v>262.3112813761843</v>
      </c>
      <c r="C70" s="285">
        <f>((IS!$J$28+CFS!$J$10)*19+(BS!$F$5+BS!$F$6+BS!$F$15-BS!$F$42))/Assumptions!$B$58</f>
        <v>310.86957998843457</v>
      </c>
      <c r="D70" s="284">
        <f>((IS!$J$28+CFS!$J$10)*22+(BS!$F$5+BS!$F$6+BS!$F$15-BS!$F$42))/Assumptions!$B$58</f>
        <v>359.42787860068478</v>
      </c>
      <c r="E70" s="1">
        <f t="shared" si="1"/>
        <v>97.116597224500481</v>
      </c>
      <c r="F70" s="15" t="s">
        <v>691</v>
      </c>
    </row>
    <row r="71" spans="1:6">
      <c r="A71" s="33" t="s">
        <v>24</v>
      </c>
      <c r="B71" s="2">
        <v>175</v>
      </c>
      <c r="C71" s="36">
        <v>217.5</v>
      </c>
      <c r="D71" s="3">
        <v>260</v>
      </c>
      <c r="E71" s="1">
        <f t="shared" si="1"/>
        <v>85</v>
      </c>
      <c r="F71" s="15" t="s">
        <v>414</v>
      </c>
    </row>
    <row r="72" spans="1:6">
      <c r="A72" s="33" t="s">
        <v>415</v>
      </c>
      <c r="B72" s="2">
        <v>215</v>
      </c>
      <c r="C72" s="36">
        <v>245</v>
      </c>
      <c r="D72" s="3">
        <v>285</v>
      </c>
      <c r="E72" s="1">
        <f t="shared" si="1"/>
        <v>70</v>
      </c>
      <c r="F72" s="15" t="s">
        <v>416</v>
      </c>
    </row>
    <row r="73" spans="1:6">
      <c r="A73" s="37" t="s">
        <v>373</v>
      </c>
      <c r="B73" s="38">
        <f>Assumptions!$B$59</f>
        <v>232.5</v>
      </c>
      <c r="C73" s="38">
        <f>Assumptions!$B$59</f>
        <v>232.5</v>
      </c>
      <c r="D73" s="38">
        <f>Assumptions!$B$59</f>
        <v>232.5</v>
      </c>
      <c r="E73" s="39">
        <v>0</v>
      </c>
      <c r="F73" s="31" t="s">
        <v>417</v>
      </c>
    </row>
  </sheetData>
  <mergeCells count="6">
    <mergeCell ref="A40:H40"/>
    <mergeCell ref="A1:J1"/>
    <mergeCell ref="A2:J2"/>
    <mergeCell ref="A6:F6"/>
    <mergeCell ref="A19:D19"/>
    <mergeCell ref="A31:H31"/>
  </mergeCells>
  <conditionalFormatting sqref="B34:F38">
    <cfRule type="colorScale" priority="3">
      <colorScale>
        <cfvo type="min"/>
        <cfvo type="percentile" val="50"/>
        <cfvo type="max"/>
        <color rgb="FFFCE9E9"/>
        <color rgb="FFFFFFFF"/>
        <color rgb="FFE2F3E5"/>
      </colorScale>
    </cfRule>
  </conditionalFormatting>
  <conditionalFormatting sqref="B44:F48">
    <cfRule type="colorScale" priority="1">
      <colorScale>
        <cfvo type="min"/>
        <cfvo type="percentile" val="50"/>
        <cfvo type="max"/>
        <color rgb="FFFCE9E9"/>
        <color rgb="FFFFFFFF"/>
        <color rgb="FFE2F3E5"/>
      </colorScale>
    </cfRule>
  </conditionalFormatting>
  <pageMargins left="0.25" right="0.25" top="0.4" bottom="0.4" header="0.511811023622047" footer="0.511811023622047"/>
  <pageSetup paperSize="9" orientation="landscape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4C759"/>
    <pageSetUpPr fitToPage="1"/>
  </sheetPr>
  <dimension ref="A1:J117"/>
  <sheetViews>
    <sheetView showGridLines="0" topLeftCell="A47" zoomScaleNormal="100" workbookViewId="0">
      <selection activeCell="G36" sqref="G36"/>
    </sheetView>
  </sheetViews>
  <sheetFormatPr defaultColWidth="8.6328125" defaultRowHeight="14.5"/>
  <cols>
    <col min="1" max="1" width="28" bestFit="1" customWidth="1"/>
    <col min="2" max="6" width="14" customWidth="1"/>
    <col min="7" max="7" width="22" customWidth="1"/>
    <col min="8" max="8" width="24" customWidth="1"/>
    <col min="9" max="10" width="12" customWidth="1"/>
  </cols>
  <sheetData>
    <row r="1" spans="1:10" ht="31.5" customHeight="1">
      <c r="A1" s="318" t="s">
        <v>144</v>
      </c>
      <c r="B1" s="318"/>
      <c r="C1" s="318"/>
      <c r="D1" s="318"/>
      <c r="E1" s="318"/>
      <c r="F1" s="318"/>
      <c r="G1" s="318"/>
      <c r="H1" s="318"/>
      <c r="I1" s="318"/>
      <c r="J1" s="318"/>
    </row>
    <row r="2" spans="1:10" ht="19.5" customHeight="1">
      <c r="A2" s="336" t="s">
        <v>740</v>
      </c>
      <c r="B2" s="330"/>
      <c r="C2" s="330"/>
      <c r="D2" s="330"/>
      <c r="E2" s="330"/>
      <c r="F2" s="330"/>
      <c r="G2" s="330"/>
      <c r="H2" s="330"/>
      <c r="I2" s="330"/>
      <c r="J2" s="330"/>
    </row>
    <row r="3" spans="1:10" ht="6" customHeight="1">
      <c r="A3" s="289" t="s">
        <v>741</v>
      </c>
      <c r="B3" s="293" t="str">
        <f>IF(AND(E80=0,COUNTIF(B114:J114,"✓")=9,COUNTIF(B115:J115,"✓")+COUNTIF(B115:J115,"n/a")=9),"✅ ALL CHECKS PASS","⚠ "&amp;(E80+(9-COUNTIF(B114:J114,"✓"))+(9-COUNTIF(B115:J115,"✓")-COUNTIF(B115:J115,"n/a")))&amp;" ISSUES — see details below")</f>
        <v>✅ ALL CHECKS PASS</v>
      </c>
      <c r="C3" s="137"/>
      <c r="D3" s="137"/>
      <c r="E3" s="137"/>
      <c r="F3" s="137"/>
      <c r="G3" s="137"/>
      <c r="H3" s="137"/>
      <c r="I3" s="137"/>
      <c r="J3" s="137"/>
    </row>
    <row r="5" spans="1:10" ht="21.75" customHeight="1">
      <c r="A5" s="337" t="s">
        <v>145</v>
      </c>
      <c r="B5" s="337"/>
      <c r="C5" s="337"/>
      <c r="D5" s="337"/>
      <c r="E5" s="337"/>
      <c r="F5" s="337"/>
      <c r="G5" s="337"/>
      <c r="H5" s="337"/>
      <c r="I5" s="337"/>
      <c r="J5" s="337"/>
    </row>
    <row r="6" spans="1:10" ht="18.75" customHeight="1">
      <c r="A6" s="138" t="s">
        <v>146</v>
      </c>
      <c r="B6" s="338" t="s">
        <v>147</v>
      </c>
      <c r="C6" s="338"/>
      <c r="D6" s="338"/>
      <c r="E6" s="139" t="s">
        <v>148</v>
      </c>
      <c r="F6" s="339" t="s">
        <v>149</v>
      </c>
      <c r="G6" s="339"/>
      <c r="H6" s="340" t="s">
        <v>150</v>
      </c>
      <c r="I6" s="340"/>
      <c r="J6" s="340"/>
    </row>
    <row r="7" spans="1:10" ht="18.75" customHeight="1">
      <c r="A7" s="140" t="s">
        <v>151</v>
      </c>
      <c r="B7" s="341" t="s">
        <v>152</v>
      </c>
      <c r="C7" s="341"/>
      <c r="D7" s="341"/>
      <c r="E7" s="141" t="s">
        <v>153</v>
      </c>
      <c r="F7" s="342" t="s">
        <v>154</v>
      </c>
      <c r="G7" s="342"/>
      <c r="H7" s="343" t="s">
        <v>150</v>
      </c>
      <c r="I7" s="343"/>
      <c r="J7" s="343"/>
    </row>
    <row r="8" spans="1:10" ht="18.75" customHeight="1">
      <c r="A8" s="138" t="s">
        <v>155</v>
      </c>
      <c r="B8" s="338" t="s">
        <v>156</v>
      </c>
      <c r="C8" s="338"/>
      <c r="D8" s="338"/>
      <c r="E8" s="139" t="s">
        <v>157</v>
      </c>
      <c r="F8" s="339" t="s">
        <v>158</v>
      </c>
      <c r="G8" s="339"/>
      <c r="H8" s="340" t="s">
        <v>150</v>
      </c>
      <c r="I8" s="340"/>
      <c r="J8" s="340"/>
    </row>
    <row r="9" spans="1:10" ht="18.75" customHeight="1">
      <c r="A9" s="140" t="s">
        <v>159</v>
      </c>
      <c r="B9" s="341" t="s">
        <v>160</v>
      </c>
      <c r="C9" s="341"/>
      <c r="D9" s="341"/>
      <c r="E9" s="141" t="s">
        <v>161</v>
      </c>
      <c r="F9" s="342" t="s">
        <v>162</v>
      </c>
      <c r="G9" s="342"/>
      <c r="H9" s="343" t="s">
        <v>163</v>
      </c>
      <c r="I9" s="343"/>
      <c r="J9" s="343"/>
    </row>
    <row r="10" spans="1:10" ht="18.75" customHeight="1">
      <c r="A10" s="138" t="s">
        <v>164</v>
      </c>
      <c r="B10" s="338" t="s">
        <v>165</v>
      </c>
      <c r="C10" s="338"/>
      <c r="D10" s="338"/>
      <c r="E10" s="139" t="s">
        <v>166</v>
      </c>
      <c r="F10" s="339" t="s">
        <v>167</v>
      </c>
      <c r="G10" s="339"/>
      <c r="H10" s="340" t="s">
        <v>163</v>
      </c>
      <c r="I10" s="340"/>
      <c r="J10" s="340"/>
    </row>
    <row r="11" spans="1:10" ht="18.75" customHeight="1">
      <c r="A11" s="140" t="s">
        <v>168</v>
      </c>
      <c r="B11" s="341" t="s">
        <v>169</v>
      </c>
      <c r="C11" s="341"/>
      <c r="D11" s="341"/>
      <c r="E11" s="141" t="s">
        <v>170</v>
      </c>
      <c r="F11" s="342" t="s">
        <v>171</v>
      </c>
      <c r="G11" s="342"/>
      <c r="H11" s="343" t="s">
        <v>172</v>
      </c>
      <c r="I11" s="343"/>
      <c r="J11" s="343"/>
    </row>
    <row r="12" spans="1:10" ht="18.75" customHeight="1">
      <c r="A12" s="138" t="s">
        <v>173</v>
      </c>
      <c r="B12" s="338" t="s">
        <v>174</v>
      </c>
      <c r="C12" s="338"/>
      <c r="D12" s="338"/>
      <c r="E12" s="139" t="s">
        <v>175</v>
      </c>
      <c r="F12" s="339" t="s">
        <v>176</v>
      </c>
      <c r="G12" s="339"/>
      <c r="H12" s="340" t="s">
        <v>177</v>
      </c>
      <c r="I12" s="340"/>
      <c r="J12" s="340"/>
    </row>
    <row r="14" spans="1:10" ht="21.75" customHeight="1">
      <c r="A14" s="337" t="s">
        <v>178</v>
      </c>
      <c r="B14" s="337"/>
      <c r="C14" s="337"/>
      <c r="D14" s="337"/>
      <c r="E14" s="337"/>
      <c r="F14" s="337"/>
      <c r="G14" s="337"/>
      <c r="H14" s="337"/>
      <c r="I14" s="337"/>
      <c r="J14" s="337"/>
    </row>
    <row r="15" spans="1:10" ht="24" customHeight="1">
      <c r="A15" s="142" t="s">
        <v>179</v>
      </c>
      <c r="B15" s="143" t="s">
        <v>11</v>
      </c>
      <c r="C15" s="143" t="s">
        <v>12</v>
      </c>
      <c r="D15" s="143" t="s">
        <v>13</v>
      </c>
      <c r="E15" s="143" t="s">
        <v>14</v>
      </c>
      <c r="F15" s="143" t="s">
        <v>15</v>
      </c>
      <c r="G15" s="143" t="s">
        <v>180</v>
      </c>
      <c r="H15" s="344" t="s">
        <v>181</v>
      </c>
      <c r="I15" s="344"/>
      <c r="J15" s="344"/>
    </row>
    <row r="16" spans="1:10" ht="15.75" customHeight="1">
      <c r="A16" s="144" t="s">
        <v>40</v>
      </c>
      <c r="B16" s="145">
        <v>297392</v>
      </c>
      <c r="C16" s="145">
        <v>316199</v>
      </c>
      <c r="D16" s="145">
        <v>298085</v>
      </c>
      <c r="E16" s="145">
        <v>294866</v>
      </c>
      <c r="F16" s="145">
        <v>307003</v>
      </c>
      <c r="G16" s="9" t="str" cm="1">
        <f t="array" ref="G16">IF(SUMPRODUCT(ABS(B16:F16-IS!B8:F8))&lt;1,"✓","✗ "&amp;TEXT(SUMPRODUCT(ABS(B16:F16-IS!B8:F8)),"#,##0.0"))</f>
        <v>✓</v>
      </c>
      <c r="H16" s="345" t="s">
        <v>182</v>
      </c>
      <c r="I16" s="345"/>
      <c r="J16" s="345"/>
    </row>
    <row r="17" spans="1:10" ht="15.75" customHeight="1">
      <c r="A17" s="146" t="s">
        <v>41</v>
      </c>
      <c r="B17" s="147">
        <v>68425</v>
      </c>
      <c r="C17" s="147">
        <v>78129</v>
      </c>
      <c r="D17" s="147">
        <v>85200</v>
      </c>
      <c r="E17" s="147">
        <v>96169</v>
      </c>
      <c r="F17" s="147">
        <v>109158</v>
      </c>
      <c r="G17" s="10" t="str" cm="1">
        <f t="array" ref="G17">IF(SUMPRODUCT(ABS(B17:F17-IS!B13:F13))&lt;1,"✓","✗ "&amp;TEXT(SUMPRODUCT(ABS(B17:F17-IS!B13:F13)),"#,##0.0"))</f>
        <v>✓</v>
      </c>
      <c r="H17" s="346" t="s">
        <v>182</v>
      </c>
      <c r="I17" s="346"/>
      <c r="J17" s="346"/>
    </row>
    <row r="18" spans="1:10" ht="15.75" customHeight="1">
      <c r="A18" s="144" t="s">
        <v>183</v>
      </c>
      <c r="B18" s="145">
        <v>365817</v>
      </c>
      <c r="C18" s="145">
        <v>394328</v>
      </c>
      <c r="D18" s="145">
        <v>383285</v>
      </c>
      <c r="E18" s="145">
        <v>391035</v>
      </c>
      <c r="F18" s="145">
        <v>416161</v>
      </c>
      <c r="G18" s="9" t="str" cm="1">
        <f t="array" ref="G18">IF(SUMPRODUCT(ABS(B18:F18-IS!B14:F14))&lt;1,"✓","✗ "&amp;TEXT(SUMPRODUCT(ABS(B18:F18-IS!B14:F14)),"#,##0.0"))</f>
        <v>✓</v>
      </c>
      <c r="H18" s="345" t="s">
        <v>184</v>
      </c>
      <c r="I18" s="345"/>
      <c r="J18" s="345"/>
    </row>
    <row r="19" spans="1:10" ht="15.75" customHeight="1">
      <c r="A19" s="146" t="s">
        <v>62</v>
      </c>
      <c r="B19" s="147">
        <v>192266</v>
      </c>
      <c r="C19" s="147">
        <v>201471</v>
      </c>
      <c r="D19" s="147">
        <v>189282</v>
      </c>
      <c r="E19" s="147">
        <v>185233</v>
      </c>
      <c r="F19" s="147">
        <v>194116</v>
      </c>
      <c r="G19" s="10" t="str" cm="1">
        <f t="array" ref="G19">IF(SUMPRODUCT(ABS(B19:F19-IS!B18:F18))&lt;1,"✓","✗ "&amp;TEXT(SUMPRODUCT(ABS(B19:F19-IS!B18:F18)),"#,##0.0"))</f>
        <v>✓</v>
      </c>
      <c r="H19" s="346" t="s">
        <v>182</v>
      </c>
      <c r="I19" s="346"/>
      <c r="J19" s="346"/>
    </row>
    <row r="20" spans="1:10" ht="15.75" customHeight="1">
      <c r="A20" s="144" t="s">
        <v>63</v>
      </c>
      <c r="B20" s="145">
        <v>20715</v>
      </c>
      <c r="C20" s="145">
        <v>22075</v>
      </c>
      <c r="D20" s="145">
        <v>24855</v>
      </c>
      <c r="E20" s="145">
        <v>25119</v>
      </c>
      <c r="F20" s="145">
        <v>26844</v>
      </c>
      <c r="G20" s="9" t="str" cm="1">
        <f t="array" ref="G20">IF(SUMPRODUCT(ABS(B20:F20-IS!B19:F19))&lt;1,"✓","✗ "&amp;TEXT(SUMPRODUCT(ABS(B20:F20-IS!B19:F19)),"#,##0.0"))</f>
        <v>✓</v>
      </c>
      <c r="H20" s="345" t="s">
        <v>182</v>
      </c>
      <c r="I20" s="345"/>
      <c r="J20" s="345"/>
    </row>
    <row r="21" spans="1:10" ht="15.75" customHeight="1">
      <c r="A21" s="146" t="s">
        <v>64</v>
      </c>
      <c r="B21" s="147">
        <v>212981</v>
      </c>
      <c r="C21" s="147">
        <v>223546</v>
      </c>
      <c r="D21" s="147">
        <v>214137</v>
      </c>
      <c r="E21" s="147">
        <v>210352</v>
      </c>
      <c r="F21" s="147">
        <v>220960</v>
      </c>
      <c r="G21" s="10" t="str" cm="1">
        <f t="array" ref="G21">IF(SUMPRODUCT(ABS(B21:F21-IS!B20:F20))&lt;1,"✓","✗ "&amp;TEXT(SUMPRODUCT(ABS(B21:F21-IS!B20:F20)),"#,##0.0"))</f>
        <v>✓</v>
      </c>
      <c r="H21" s="346" t="s">
        <v>184</v>
      </c>
      <c r="I21" s="346"/>
      <c r="J21" s="346"/>
    </row>
    <row r="22" spans="1:10" ht="15.75" customHeight="1">
      <c r="A22" s="144" t="s">
        <v>185</v>
      </c>
      <c r="B22" s="145">
        <v>152836</v>
      </c>
      <c r="C22" s="145">
        <v>170782</v>
      </c>
      <c r="D22" s="145">
        <v>169148</v>
      </c>
      <c r="E22" s="145">
        <v>180683</v>
      </c>
      <c r="F22" s="145">
        <v>195201</v>
      </c>
      <c r="G22" s="9" t="str" cm="1">
        <f t="array" ref="G22">IF(SUMPRODUCT(ABS(B22:F22-IS!B21:F21))&lt;1,"✓","✗ "&amp;TEXT(SUMPRODUCT(ABS(B22:F22-IS!B21:F21)),"#,##0.0"))</f>
        <v>✓</v>
      </c>
      <c r="H22" s="345" t="s">
        <v>184</v>
      </c>
      <c r="I22" s="345"/>
      <c r="J22" s="345"/>
    </row>
    <row r="23" spans="1:10" ht="15.75" customHeight="1">
      <c r="A23" s="146" t="s">
        <v>186</v>
      </c>
      <c r="B23" s="147">
        <v>21914</v>
      </c>
      <c r="C23" s="147">
        <v>26251</v>
      </c>
      <c r="D23" s="147">
        <v>29915</v>
      </c>
      <c r="E23" s="147">
        <v>31370</v>
      </c>
      <c r="F23" s="147">
        <v>34550</v>
      </c>
      <c r="G23" s="10" t="str" cm="1">
        <f t="array" ref="G23">IF(SUMPRODUCT(ABS(B23:F23-IS!B25:F25))&lt;1,"✓","✗ "&amp;TEXT(SUMPRODUCT(ABS(B23:F23-IS!B25:F25)),"#,##0.0"))</f>
        <v>✓</v>
      </c>
      <c r="H23" s="346" t="s">
        <v>182</v>
      </c>
      <c r="I23" s="346"/>
      <c r="J23" s="346"/>
    </row>
    <row r="24" spans="1:10" ht="15.75" customHeight="1">
      <c r="A24" s="144" t="s">
        <v>187</v>
      </c>
      <c r="B24" s="145">
        <v>21973</v>
      </c>
      <c r="C24" s="145">
        <v>25094</v>
      </c>
      <c r="D24" s="145">
        <v>24932</v>
      </c>
      <c r="E24" s="145">
        <v>26097</v>
      </c>
      <c r="F24" s="145">
        <v>27601</v>
      </c>
      <c r="G24" s="9" t="str" cm="1">
        <f t="array" ref="G24">IF(SUMPRODUCT(ABS(B24:F24-IS!B26:F26))&lt;1,"✓","✗ "&amp;TEXT(SUMPRODUCT(ABS(B24:F24-IS!B26:F26)),"#,##0.0"))</f>
        <v>✓</v>
      </c>
      <c r="H24" s="345" t="s">
        <v>182</v>
      </c>
      <c r="I24" s="345"/>
      <c r="J24" s="345"/>
    </row>
    <row r="25" spans="1:10" ht="15.75" customHeight="1">
      <c r="A25" s="146" t="s">
        <v>67</v>
      </c>
      <c r="B25" s="147">
        <v>43887</v>
      </c>
      <c r="C25" s="147">
        <v>51345</v>
      </c>
      <c r="D25" s="147">
        <v>54847</v>
      </c>
      <c r="E25" s="147">
        <v>57467</v>
      </c>
      <c r="F25" s="147">
        <v>62151</v>
      </c>
      <c r="G25" s="10" t="str" cm="1">
        <f t="array" ref="G25">IF(SUMPRODUCT(ABS(B25:F25-IS!B27:F27))&lt;1,"✓","✗ "&amp;TEXT(SUMPRODUCT(ABS(B25:F25-IS!B27:F27)),"#,##0.0"))</f>
        <v>✓</v>
      </c>
      <c r="H25" s="346" t="s">
        <v>184</v>
      </c>
      <c r="I25" s="346"/>
      <c r="J25" s="346"/>
    </row>
    <row r="26" spans="1:10" ht="15.75" customHeight="1">
      <c r="A26" s="144" t="s">
        <v>188</v>
      </c>
      <c r="B26" s="145">
        <v>108949</v>
      </c>
      <c r="C26" s="145">
        <v>119437</v>
      </c>
      <c r="D26" s="145">
        <v>114301</v>
      </c>
      <c r="E26" s="145">
        <v>123216</v>
      </c>
      <c r="F26" s="145">
        <v>133050</v>
      </c>
      <c r="G26" s="9" t="str" cm="1">
        <f t="array" ref="G26">IF(SUMPRODUCT(ABS(B26:F26-IS!B28:F28))&lt;1,"✓","✗ "&amp;TEXT(SUMPRODUCT(ABS(B26:F26-IS!B28:F28)),"#,##0.0"))</f>
        <v>✓</v>
      </c>
      <c r="H26" s="345" t="s">
        <v>182</v>
      </c>
      <c r="I26" s="345"/>
      <c r="J26" s="345"/>
    </row>
    <row r="27" spans="1:10" ht="15.75" customHeight="1">
      <c r="A27" s="146" t="s">
        <v>69</v>
      </c>
      <c r="B27" s="147">
        <v>258</v>
      </c>
      <c r="C27" s="147">
        <v>-334</v>
      </c>
      <c r="D27" s="147">
        <v>-565</v>
      </c>
      <c r="E27" s="147">
        <v>269</v>
      </c>
      <c r="F27" s="147">
        <v>-321</v>
      </c>
      <c r="G27" s="10" t="str" cm="1">
        <f t="array" ref="G27">IF(SUMPRODUCT(ABS(B27:F27-IS!B34:F34))&lt;1,"✓","✗ "&amp;TEXT(SUMPRODUCT(ABS(B27:F27-IS!B34:F34)),"#,##0.0"))</f>
        <v>✓</v>
      </c>
      <c r="H27" s="346" t="s">
        <v>182</v>
      </c>
      <c r="I27" s="346"/>
      <c r="J27" s="346"/>
    </row>
    <row r="28" spans="1:10" ht="15.75" customHeight="1">
      <c r="A28" s="144" t="s">
        <v>189</v>
      </c>
      <c r="B28" s="145">
        <v>109207</v>
      </c>
      <c r="C28" s="145">
        <v>119103</v>
      </c>
      <c r="D28" s="145">
        <v>113736</v>
      </c>
      <c r="E28" s="145">
        <v>123485</v>
      </c>
      <c r="F28" s="145">
        <v>132729</v>
      </c>
      <c r="G28" s="9" t="str" cm="1">
        <f t="array" ref="G28">IF(SUMPRODUCT(ABS(B28:F28-IS!B35:F35))&lt;1,"✓","✗ "&amp;TEXT(SUMPRODUCT(ABS(B28:F28-IS!B35:F35)),"#,##0.0"))</f>
        <v>✓</v>
      </c>
      <c r="H28" s="345" t="s">
        <v>184</v>
      </c>
      <c r="I28" s="345"/>
      <c r="J28" s="345"/>
    </row>
    <row r="29" spans="1:10" ht="15.75" customHeight="1">
      <c r="A29" s="146" t="s">
        <v>71</v>
      </c>
      <c r="B29" s="147">
        <v>14527</v>
      </c>
      <c r="C29" s="147">
        <v>19300</v>
      </c>
      <c r="D29" s="147">
        <v>16741</v>
      </c>
      <c r="E29" s="147">
        <v>29749</v>
      </c>
      <c r="F29" s="147">
        <v>20719</v>
      </c>
      <c r="G29" s="10" t="str" cm="1">
        <f t="array" ref="G29">IF(SUMPRODUCT(ABS(B29:F29-IS!B36:F36))&lt;1,"✓","✗ "&amp;TEXT(SUMPRODUCT(ABS(B29:F29-IS!B36:F36)),"#,##0.0"))</f>
        <v>✓</v>
      </c>
      <c r="H29" s="346" t="s">
        <v>182</v>
      </c>
      <c r="I29" s="346"/>
      <c r="J29" s="346"/>
    </row>
    <row r="30" spans="1:10" ht="15.75" customHeight="1">
      <c r="A30" s="144" t="s">
        <v>190</v>
      </c>
      <c r="B30" s="145">
        <v>94680</v>
      </c>
      <c r="C30" s="145">
        <v>99803</v>
      </c>
      <c r="D30" s="145">
        <v>96995</v>
      </c>
      <c r="E30" s="145">
        <v>93736</v>
      </c>
      <c r="F30" s="145">
        <v>112010</v>
      </c>
      <c r="G30" s="9" t="str" cm="1">
        <f t="array" ref="G30">IF(SUMPRODUCT(ABS(B30:F30-IS!B38:F38))&lt;1,"✓","✗ "&amp;TEXT(SUMPRODUCT(ABS(B30:F30-IS!B38:F38)),"#,##0.0"))</f>
        <v>✓</v>
      </c>
      <c r="H30" s="345" t="s">
        <v>182</v>
      </c>
      <c r="I30" s="345"/>
      <c r="J30" s="345"/>
    </row>
    <row r="31" spans="1:10" ht="15.75" customHeight="1">
      <c r="A31" s="146" t="s">
        <v>191</v>
      </c>
      <c r="B31" s="148">
        <v>5.61</v>
      </c>
      <c r="C31" s="148">
        <v>6.11</v>
      </c>
      <c r="D31" s="148">
        <v>6.13</v>
      </c>
      <c r="E31" s="148">
        <v>6.08</v>
      </c>
      <c r="F31" s="148">
        <v>7.46</v>
      </c>
      <c r="G31" s="10" t="str" cm="1">
        <f t="array" ref="G31">IF(SUMPRODUCT(ABS(B31:F31-IS!B43:F43))&lt;0.05,"✓","✗ "&amp;TEXT(SUMPRODUCT(ABS(B31:F31-IS!B43:F43)),"#,##0.0"))</f>
        <v>✓</v>
      </c>
      <c r="H31" s="346" t="s">
        <v>182</v>
      </c>
      <c r="I31" s="346"/>
      <c r="J31" s="346"/>
    </row>
    <row r="34" spans="1:10" ht="21.75" customHeight="1">
      <c r="A34" s="337" t="s">
        <v>192</v>
      </c>
      <c r="B34" s="337"/>
      <c r="C34" s="337"/>
      <c r="D34" s="337"/>
      <c r="E34" s="337"/>
      <c r="F34" s="337"/>
      <c r="G34" s="337"/>
      <c r="H34" s="337"/>
      <c r="I34" s="337"/>
      <c r="J34" s="337"/>
    </row>
    <row r="35" spans="1:10" ht="24" customHeight="1">
      <c r="A35" s="142" t="s">
        <v>179</v>
      </c>
      <c r="B35" s="143" t="s">
        <v>11</v>
      </c>
      <c r="C35" s="143" t="s">
        <v>12</v>
      </c>
      <c r="D35" s="143" t="s">
        <v>13</v>
      </c>
      <c r="E35" s="143" t="s">
        <v>14</v>
      </c>
      <c r="F35" s="143" t="s">
        <v>15</v>
      </c>
      <c r="G35" s="143" t="s">
        <v>180</v>
      </c>
      <c r="H35" s="344" t="s">
        <v>181</v>
      </c>
      <c r="I35" s="344"/>
      <c r="J35" s="344"/>
    </row>
    <row r="36" spans="1:10" ht="15.75" customHeight="1">
      <c r="A36" s="144" t="s">
        <v>73</v>
      </c>
      <c r="B36" s="145">
        <v>34940</v>
      </c>
      <c r="C36" s="145">
        <v>23646</v>
      </c>
      <c r="D36" s="145">
        <v>29965</v>
      </c>
      <c r="E36" s="145">
        <v>29943</v>
      </c>
      <c r="F36" s="145">
        <v>35934</v>
      </c>
      <c r="G36" s="9" t="str">
        <f>IF((ABS(B36-(BS!C5))+ABS(C36-(BS!D5))+ABS(D36-(BS!E5))+ABS(E36-(BS!F5))+ABS(F36-(BS!G5)))&lt;5,"✓","✗ "&amp;TEXT(ABS(B36-(BS!C5))+ABS(C36-(BS!D5))+ABS(D36-(BS!E5))+ABS(E36-(BS!F5))+ABS(F36-(BS!G5)),"#,##0"))</f>
        <v>✓</v>
      </c>
      <c r="H36" s="345" t="s">
        <v>193</v>
      </c>
      <c r="I36" s="345"/>
      <c r="J36" s="345"/>
    </row>
    <row r="37" spans="1:10" ht="15.75" customHeight="1">
      <c r="A37" s="146" t="s">
        <v>194</v>
      </c>
      <c r="B37" s="147">
        <v>27699</v>
      </c>
      <c r="C37" s="147">
        <v>24658</v>
      </c>
      <c r="D37" s="147">
        <v>31590</v>
      </c>
      <c r="E37" s="147">
        <v>35228</v>
      </c>
      <c r="F37" s="147">
        <v>18763</v>
      </c>
      <c r="G37" s="10" t="str">
        <f>IF((ABS(B37-(BS!C6))+ABS(C37-(BS!D6))+ABS(D37-(BS!E6))+ABS(E37-(BS!F6))+ABS(F37-(BS!G6)))&lt;5,"✓","✗ "&amp;TEXT(ABS(B37-(BS!C6))+ABS(C37-(BS!D6))+ABS(D37-(BS!E6))+ABS(E37-(BS!F6))+ABS(F37-(BS!G6)),"#,##0"))</f>
        <v>✓</v>
      </c>
      <c r="H37" s="346" t="s">
        <v>193</v>
      </c>
      <c r="I37" s="346"/>
      <c r="J37" s="346"/>
    </row>
    <row r="38" spans="1:10" ht="15.75" customHeight="1">
      <c r="A38" s="144" t="s">
        <v>195</v>
      </c>
      <c r="B38" s="145">
        <v>127877</v>
      </c>
      <c r="C38" s="145">
        <v>120805</v>
      </c>
      <c r="D38" s="145">
        <v>100544</v>
      </c>
      <c r="E38" s="145">
        <v>91479</v>
      </c>
      <c r="F38" s="145">
        <v>77723</v>
      </c>
      <c r="G38" s="9" t="str">
        <f>IF((ABS(B38-(BS!C15))+ABS(C38-(BS!D15))+ABS(D38-(BS!E15))+ABS(E38-(BS!F15))+ABS(F38-(BS!G15)))&lt;5,"✓","✗ "&amp;TEXT(ABS(B38-(BS!C15))+ABS(C38-(BS!D15))+ABS(D38-(BS!E15))+ABS(E38-(BS!F15))+ABS(F38-(BS!G15)),"#,##0"))</f>
        <v>✓</v>
      </c>
      <c r="H38" s="345" t="s">
        <v>193</v>
      </c>
      <c r="I38" s="345"/>
      <c r="J38" s="345"/>
    </row>
    <row r="39" spans="1:10" ht="15.75" customHeight="1">
      <c r="A39" s="146" t="s">
        <v>196</v>
      </c>
      <c r="B39" s="147">
        <v>26278</v>
      </c>
      <c r="C39" s="147">
        <v>28184</v>
      </c>
      <c r="D39" s="147">
        <v>29508</v>
      </c>
      <c r="E39" s="147">
        <v>33410</v>
      </c>
      <c r="F39" s="147">
        <v>39777</v>
      </c>
      <c r="G39" s="10" t="str">
        <f>IF((ABS(B39-(BS!C7))+ABS(C39-(BS!D7))+ABS(D39-(BS!E7))+ABS(E39-(BS!F7))+ABS(F39-(BS!G7)))&lt;5,"✓","✗ "&amp;TEXT(ABS(B39-(BS!C7))+ABS(C39-(BS!D7))+ABS(D39-(BS!E7))+ABS(E39-(BS!F7))+ABS(F39-(BS!G7)),"#,##0"))</f>
        <v>✓</v>
      </c>
      <c r="H39" s="346" t="s">
        <v>193</v>
      </c>
      <c r="I39" s="346"/>
      <c r="J39" s="346"/>
    </row>
    <row r="40" spans="1:10" ht="15.75" customHeight="1">
      <c r="A40" s="144" t="s">
        <v>74</v>
      </c>
      <c r="B40" s="145">
        <v>6580</v>
      </c>
      <c r="C40" s="145">
        <v>4946</v>
      </c>
      <c r="D40" s="145">
        <v>6331</v>
      </c>
      <c r="E40" s="145">
        <v>7286</v>
      </c>
      <c r="F40" s="145">
        <v>5718</v>
      </c>
      <c r="G40" s="9" t="str">
        <f>IF((ABS(B40-(BS!C8))+ABS(C40-(BS!D8))+ABS(D40-(BS!E8))+ABS(E40-(BS!F8))+ABS(F40-(BS!G8)))&lt;5,"✓","✗ "&amp;TEXT(ABS(B40-(BS!C8))+ABS(C40-(BS!D8))+ABS(D40-(BS!E8))+ABS(E40-(BS!F8))+ABS(F40-(BS!G8)),"#,##0"))</f>
        <v>✓</v>
      </c>
      <c r="H40" s="345" t="s">
        <v>193</v>
      </c>
      <c r="I40" s="345"/>
      <c r="J40" s="345"/>
    </row>
    <row r="41" spans="1:10" ht="15.75" customHeight="1">
      <c r="A41" s="146" t="s">
        <v>197</v>
      </c>
      <c r="B41" s="147">
        <v>39339</v>
      </c>
      <c r="C41" s="147">
        <v>53971</v>
      </c>
      <c r="D41" s="147">
        <v>46172</v>
      </c>
      <c r="E41" s="147">
        <v>47120</v>
      </c>
      <c r="F41" s="147">
        <v>47765</v>
      </c>
      <c r="G41" s="10" t="str">
        <f>IF((ABS(B41-(BS!C9+BS!C10))+ABS(C41-(BS!D9+BS!D10))+ABS(D41-(BS!E9+BS!E10))+ABS(E41-(BS!F9+BS!F10))+ABS(F41-(BS!G9+BS!G10)))&lt;5,"✓","✗ "&amp;TEXT(ABS(B41-(BS!C9+BS!C10))+ABS(C41-(BS!D9+BS!D10))+ABS(D41-(BS!E9+BS!E10))+ABS(E41-(BS!F9+BS!F10))+ABS(F41-(BS!G9+BS!G10)),"#,##0"))</f>
        <v>✓</v>
      </c>
      <c r="H41" s="346" t="s">
        <v>198</v>
      </c>
      <c r="I41" s="346"/>
      <c r="J41" s="346"/>
    </row>
    <row r="42" spans="1:10" ht="15.75" customHeight="1">
      <c r="A42" s="149" t="s">
        <v>76</v>
      </c>
      <c r="B42" s="150">
        <v>134836</v>
      </c>
      <c r="C42" s="150">
        <v>135405</v>
      </c>
      <c r="D42" s="150">
        <v>143566</v>
      </c>
      <c r="E42" s="150">
        <v>152987</v>
      </c>
      <c r="F42" s="150">
        <v>147957</v>
      </c>
      <c r="G42" s="9" t="str">
        <f>IF((ABS(B42-(BS!C11))+ABS(C42-(BS!D11))+ABS(D42-(BS!E11))+ABS(E42-(BS!F11))+ABS(F42-(BS!G11)))&lt;5,"✓","✗ "&amp;TEXT(ABS(B42-(BS!C11))+ABS(C42-(BS!D11))+ABS(D42-(BS!E11))+ABS(E42-(BS!F11))+ABS(F42-(BS!G11)),"#,##0"))</f>
        <v>✓</v>
      </c>
      <c r="H42" s="345" t="s">
        <v>184</v>
      </c>
      <c r="I42" s="345"/>
      <c r="J42" s="345"/>
    </row>
    <row r="43" spans="1:10" ht="15.75" customHeight="1">
      <c r="A43" s="146" t="s">
        <v>199</v>
      </c>
      <c r="B43" s="147">
        <v>39440</v>
      </c>
      <c r="C43" s="147">
        <v>42117</v>
      </c>
      <c r="D43" s="147">
        <v>43715</v>
      </c>
      <c r="E43" s="147">
        <v>45680</v>
      </c>
      <c r="F43" s="147">
        <v>49834</v>
      </c>
      <c r="G43" s="10" t="str">
        <f>IF((ABS(B43-(BS!C14))+ABS(C43-(BS!D14))+ABS(D43-(BS!E14))+ABS(E43-(BS!F14))+ABS(F43-(BS!G14)))&lt;5,"✓","✗ "&amp;TEXT(ABS(B43-(BS!C14))+ABS(C43-(BS!D14))+ABS(D43-(BS!E14))+ABS(E43-(BS!F14))+ABS(F43-(BS!G14)),"#,##0"))</f>
        <v>✓</v>
      </c>
      <c r="H43" s="346" t="s">
        <v>193</v>
      </c>
      <c r="I43" s="346"/>
      <c r="J43" s="346"/>
    </row>
    <row r="44" spans="1:10" ht="15.75" customHeight="1">
      <c r="A44" s="144" t="s">
        <v>77</v>
      </c>
      <c r="B44" s="145">
        <v>48849</v>
      </c>
      <c r="C44" s="145">
        <v>54428</v>
      </c>
      <c r="D44" s="145">
        <v>64758</v>
      </c>
      <c r="E44" s="145">
        <v>74834</v>
      </c>
      <c r="F44" s="145">
        <v>83727</v>
      </c>
      <c r="G44" s="9" t="str">
        <f>IF((ABS(B44-(BS!C16))+ABS(C44-(BS!D16))+ABS(D44-(BS!E16))+ABS(E44-(BS!F16))+ABS(F44-(BS!G16)))&lt;5,"✓","✗ "&amp;TEXT(ABS(B44-(BS!C16))+ABS(C44-(BS!D16))+ABS(D44-(BS!E16))+ABS(E44-(BS!F16))+ABS(F44-(BS!G16)),"#,##0"))</f>
        <v>✓</v>
      </c>
      <c r="H44" s="345" t="s">
        <v>193</v>
      </c>
      <c r="I44" s="345"/>
      <c r="J44" s="345"/>
    </row>
    <row r="45" spans="1:10" ht="15.75" customHeight="1">
      <c r="A45" s="151" t="s">
        <v>78</v>
      </c>
      <c r="B45" s="152">
        <v>351002</v>
      </c>
      <c r="C45" s="152">
        <v>352755</v>
      </c>
      <c r="D45" s="152">
        <v>352583</v>
      </c>
      <c r="E45" s="152">
        <v>364980</v>
      </c>
      <c r="F45" s="152">
        <v>359241</v>
      </c>
      <c r="G45" s="10" t="str">
        <f>IF((ABS(B45-(BS!C18))+ABS(C45-(BS!D18))+ABS(D45-(BS!E18))+ABS(E45-(BS!F18))+ABS(F45-(BS!G18)))&lt;5,"✓","✗ "&amp;TEXT(ABS(B45-(BS!C18))+ABS(C45-(BS!D18))+ABS(D45-(BS!E18))+ABS(E45-(BS!F18))+ABS(F45-(BS!G18)),"#,##0"))</f>
        <v>✓</v>
      </c>
      <c r="H45" s="346" t="s">
        <v>193</v>
      </c>
      <c r="I45" s="346"/>
      <c r="J45" s="346"/>
    </row>
    <row r="46" spans="1:10" ht="15.75" customHeight="1">
      <c r="A46" s="144" t="s">
        <v>79</v>
      </c>
      <c r="B46" s="145">
        <v>54763</v>
      </c>
      <c r="C46" s="145">
        <v>64115</v>
      </c>
      <c r="D46" s="145">
        <v>62611</v>
      </c>
      <c r="E46" s="145">
        <v>68960</v>
      </c>
      <c r="F46" s="145">
        <v>69860</v>
      </c>
      <c r="G46" s="9" t="str">
        <f>IF((ABS(B46-(BS!C21))+ABS(C46-(BS!D21))+ABS(D46-(BS!E21))+ABS(E46-(BS!F21))+ABS(F46-(BS!G21)))&lt;5,"✓","✗ "&amp;TEXT(ABS(B46-(BS!C21))+ABS(C46-(BS!D21))+ABS(D46-(BS!E21))+ABS(E46-(BS!F21))+ABS(F46-(BS!G21)),"#,##0"))</f>
        <v>✓</v>
      </c>
      <c r="H46" s="345" t="s">
        <v>193</v>
      </c>
      <c r="I46" s="345"/>
      <c r="J46" s="345"/>
    </row>
    <row r="47" spans="1:10" ht="15.75" customHeight="1">
      <c r="A47" s="146" t="s">
        <v>200</v>
      </c>
      <c r="B47" s="147">
        <v>70718</v>
      </c>
      <c r="C47" s="147">
        <v>89867</v>
      </c>
      <c r="D47" s="147">
        <v>82697</v>
      </c>
      <c r="E47" s="147">
        <v>107432</v>
      </c>
      <c r="F47" s="147">
        <v>95771</v>
      </c>
      <c r="G47" s="10" t="str">
        <f>IF((ABS(B47-(BS!C22+BS!C23+BS!C24+BS!C25))+ABS(C47-(BS!D22+BS!D23+BS!D24+BS!D25))+ABS(D47-(BS!E22+BS!E23+BS!E24+BS!E25))+ABS(E47-(BS!F22+BS!F23+BS!F24+BS!F25))+ABS(F47-(BS!G22+BS!G23+BS!G24+BS!G25)))&lt;5,"✓","✗ "&amp;TEXT(ABS(B47-(BS!C22+BS!C23+BS!C24+BS!C25))+ABS(C47-(BS!D22+BS!D23+BS!D24+BS!D25))+ABS(D47-(BS!E22+BS!E23+BS!E24+BS!E25))+ABS(E47-(BS!F22+BS!F23+BS!F24+BS!F25))+ABS(F47-(BS!G22+BS!G23+BS!G24+BS!G25)),"#,##0"))</f>
        <v>✓</v>
      </c>
      <c r="H47" s="346" t="s">
        <v>201</v>
      </c>
      <c r="I47" s="346"/>
      <c r="J47" s="346"/>
    </row>
    <row r="48" spans="1:10" ht="15.75" customHeight="1">
      <c r="A48" s="149" t="s">
        <v>81</v>
      </c>
      <c r="B48" s="150">
        <v>125481</v>
      </c>
      <c r="C48" s="150">
        <v>153982</v>
      </c>
      <c r="D48" s="150">
        <v>145308</v>
      </c>
      <c r="E48" s="150">
        <v>176392</v>
      </c>
      <c r="F48" s="150">
        <v>165631</v>
      </c>
      <c r="G48" s="9" t="str">
        <f>IF((ABS(B48-(BS!C26))+ABS(C48-(BS!D26))+ABS(D48-(BS!E26))+ABS(E48-(BS!F26))+ABS(F48-(BS!G26)))&lt;5,"✓","✗ "&amp;TEXT(ABS(B48-(BS!C26))+ABS(C48-(BS!D26))+ABS(D48-(BS!E26))+ABS(E48-(BS!F26))+ABS(F48-(BS!G26)),"#,##0"))</f>
        <v>✓</v>
      </c>
      <c r="H48" s="345" t="s">
        <v>184</v>
      </c>
      <c r="I48" s="345"/>
      <c r="J48" s="345"/>
    </row>
    <row r="49" spans="1:10" ht="15.75" customHeight="1">
      <c r="A49" s="146" t="s">
        <v>202</v>
      </c>
      <c r="B49" s="147">
        <v>109106</v>
      </c>
      <c r="C49" s="147">
        <v>98959</v>
      </c>
      <c r="D49" s="147">
        <v>95281</v>
      </c>
      <c r="E49" s="147">
        <v>85750</v>
      </c>
      <c r="F49" s="147">
        <v>78328</v>
      </c>
      <c r="G49" s="10" t="str">
        <f>IF((ABS(B49-(BS!C29))+ABS(C49-(BS!D29))+ABS(D49-(BS!E29))+ABS(E49-(BS!F29))+ABS(F49-(BS!G29)))&lt;5,"✓","✗ "&amp;TEXT(ABS(B49-(BS!C29))+ABS(C49-(BS!D29))+ABS(D49-(BS!E29))+ABS(E49-(BS!F29))+ABS(F49-(BS!G29)),"#,##0"))</f>
        <v>✓</v>
      </c>
      <c r="H49" s="346" t="s">
        <v>193</v>
      </c>
      <c r="I49" s="346"/>
      <c r="J49" s="346"/>
    </row>
    <row r="50" spans="1:10" ht="15.75" customHeight="1">
      <c r="A50" s="144" t="s">
        <v>203</v>
      </c>
      <c r="B50" s="145">
        <v>53325</v>
      </c>
      <c r="C50" s="145">
        <v>49142</v>
      </c>
      <c r="D50" s="145">
        <v>49848</v>
      </c>
      <c r="E50" s="145">
        <v>45888</v>
      </c>
      <c r="F50" s="145">
        <v>41549</v>
      </c>
      <c r="G50" s="9" t="str">
        <f>IF((ABS(B50-(BS!C30))+ABS(C50-(BS!D30))+ABS(D50-(BS!E30))+ABS(E50-(BS!F30))+ABS(F50-(BS!G30)))&lt;5,"✓","✗ "&amp;TEXT(ABS(B50-(BS!C30))+ABS(C50-(BS!D30))+ABS(D50-(BS!E30))+ABS(E50-(BS!F30))+ABS(F50-(BS!G30)),"#,##0"))</f>
        <v>✓</v>
      </c>
      <c r="H50" s="345" t="s">
        <v>193</v>
      </c>
      <c r="I50" s="345"/>
      <c r="J50" s="345"/>
    </row>
    <row r="51" spans="1:10" ht="15.75" customHeight="1">
      <c r="A51" s="151" t="s">
        <v>83</v>
      </c>
      <c r="B51" s="152">
        <v>287912</v>
      </c>
      <c r="C51" s="152">
        <v>302083</v>
      </c>
      <c r="D51" s="152">
        <v>290437</v>
      </c>
      <c r="E51" s="152">
        <v>308030</v>
      </c>
      <c r="F51" s="152">
        <v>285508</v>
      </c>
      <c r="G51" s="10" t="str">
        <f>IF((ABS(B51-(BS!C32))+ABS(C51-(BS!D32))+ABS(D51-(BS!E32))+ABS(E51-(BS!F32))+ABS(F51-(BS!G32)))&lt;5,"✓","✗ "&amp;TEXT(ABS(B51-(BS!C32))+ABS(C51-(BS!D32))+ABS(D51-(BS!E32))+ABS(E51-(BS!F32))+ABS(F51-(BS!G32)),"#,##0"))</f>
        <v>✓</v>
      </c>
      <c r="H51" s="346" t="s">
        <v>193</v>
      </c>
      <c r="I51" s="346"/>
      <c r="J51" s="346"/>
    </row>
    <row r="52" spans="1:10" ht="15.75" customHeight="1">
      <c r="A52" s="144" t="s">
        <v>84</v>
      </c>
      <c r="B52" s="145">
        <v>63090</v>
      </c>
      <c r="C52" s="145">
        <v>50672</v>
      </c>
      <c r="D52" s="145">
        <v>62146</v>
      </c>
      <c r="E52" s="145">
        <v>56950</v>
      </c>
      <c r="F52" s="145">
        <v>73733</v>
      </c>
      <c r="G52" s="9" t="str">
        <f>IF((ABS(B52-(BS!C38))+ABS(C52-(BS!D38))+ABS(D52-(BS!E38))+ABS(E52-(BS!F38))+ABS(F52-(BS!G38)))&lt;5,"✓","✗ "&amp;TEXT(ABS(B52-(BS!C38))+ABS(C52-(BS!D38))+ABS(D52-(BS!E38))+ABS(E52-(BS!F38))+ABS(F52-(BS!G38)),"#,##0"))</f>
        <v>✓</v>
      </c>
      <c r="H52" s="345" t="s">
        <v>193</v>
      </c>
      <c r="I52" s="345"/>
      <c r="J52" s="345"/>
    </row>
    <row r="53" spans="1:10" ht="15.75" customHeight="1">
      <c r="A53" s="151" t="s">
        <v>204</v>
      </c>
      <c r="B53" s="152">
        <v>351002</v>
      </c>
      <c r="C53" s="152">
        <v>352755</v>
      </c>
      <c r="D53" s="152">
        <v>352583</v>
      </c>
      <c r="E53" s="152">
        <v>364980</v>
      </c>
      <c r="F53" s="152">
        <v>359241</v>
      </c>
      <c r="G53" s="10" t="str">
        <f>IF((ABS(B53-(BS!C39))+ABS(C53-(BS!D39))+ABS(D53-(BS!E39))+ABS(E53-(BS!F39))+ABS(F53-(BS!G39)))&lt;5,"✓","✗ "&amp;TEXT(ABS(B53-(BS!C39))+ABS(C53-(BS!D39))+ABS(D53-(BS!E39))+ABS(E53-(BS!F39))+ABS(F53-(BS!G39)),"#,##0"))</f>
        <v>✓</v>
      </c>
      <c r="H53" s="346" t="s">
        <v>205</v>
      </c>
      <c r="I53" s="346"/>
      <c r="J53" s="346"/>
    </row>
    <row r="54" spans="1:10" ht="15.75" customHeight="1">
      <c r="A54" s="149" t="s">
        <v>206</v>
      </c>
      <c r="B54" s="150">
        <v>0</v>
      </c>
      <c r="C54" s="150">
        <v>0</v>
      </c>
      <c r="D54" s="150">
        <v>0</v>
      </c>
      <c r="E54" s="150">
        <v>0</v>
      </c>
      <c r="F54" s="150">
        <v>0</v>
      </c>
      <c r="G54" s="9" t="str">
        <f>IF(ABS(BS!C18-BS!C39)+ABS(BS!D18-BS!D39)+ABS(BS!E18-BS!E39)+ABS(BS!F18-BS!F39)+ABS(BS!G18-BS!G39)&lt;5,"✓","✗ BS imbalances detected")</f>
        <v>✓</v>
      </c>
      <c r="H54" s="345" t="s">
        <v>207</v>
      </c>
      <c r="I54" s="345"/>
      <c r="J54" s="345"/>
    </row>
    <row r="57" spans="1:10" ht="21.75" customHeight="1">
      <c r="A57" s="337" t="s">
        <v>208</v>
      </c>
      <c r="B57" s="337"/>
      <c r="C57" s="337"/>
      <c r="D57" s="337"/>
      <c r="E57" s="337"/>
      <c r="F57" s="337"/>
      <c r="G57" s="337"/>
      <c r="H57" s="337"/>
      <c r="I57" s="337"/>
      <c r="J57" s="337"/>
    </row>
    <row r="58" spans="1:10" ht="24" customHeight="1">
      <c r="A58" s="142" t="s">
        <v>179</v>
      </c>
      <c r="B58" s="143" t="s">
        <v>11</v>
      </c>
      <c r="C58" s="143" t="s">
        <v>12</v>
      </c>
      <c r="D58" s="143" t="s">
        <v>13</v>
      </c>
      <c r="E58" s="143" t="s">
        <v>14</v>
      </c>
      <c r="F58" s="143" t="s">
        <v>15</v>
      </c>
      <c r="G58" s="143" t="s">
        <v>180</v>
      </c>
      <c r="H58" s="344" t="s">
        <v>181</v>
      </c>
      <c r="I58" s="344"/>
      <c r="J58" s="344"/>
    </row>
    <row r="59" spans="1:10" ht="15.75" customHeight="1">
      <c r="A59" s="144" t="s">
        <v>209</v>
      </c>
      <c r="B59" s="145">
        <v>39789</v>
      </c>
      <c r="C59" s="145">
        <v>35929</v>
      </c>
      <c r="D59" s="145">
        <v>24977</v>
      </c>
      <c r="E59" s="145">
        <v>30737</v>
      </c>
      <c r="F59" s="145">
        <v>29943</v>
      </c>
      <c r="G59" s="9" t="str">
        <f>IF((ABS(B59-CFS!B7)+ABS(C59-CFS!C7)+ABS(D59-CFS!D7)+ABS(E59-CFS!E7)+ABS(F59-CFS!F7))&lt;5,"✓","✗ "&amp;TEXT(ABS(B59-CFS!B7)+ABS(C59-CFS!C7)+ABS(D59-CFS!D7)+ABS(E59-CFS!E7)+ABS(F59-CFS!F7),"#,##0"))</f>
        <v>✓</v>
      </c>
      <c r="H59" s="345" t="s">
        <v>210</v>
      </c>
      <c r="I59" s="345"/>
      <c r="J59" s="345"/>
    </row>
    <row r="60" spans="1:10" ht="15.75" customHeight="1">
      <c r="A60" s="146" t="s">
        <v>86</v>
      </c>
      <c r="B60" s="147">
        <v>11284</v>
      </c>
      <c r="C60" s="147">
        <v>11104</v>
      </c>
      <c r="D60" s="147">
        <v>11519</v>
      </c>
      <c r="E60" s="147">
        <v>11445</v>
      </c>
      <c r="F60" s="147">
        <v>11698</v>
      </c>
      <c r="G60" s="10" t="str">
        <f>IF((ABS(B60-CFS!B10)+ABS(C60-CFS!C10)+ABS(D60-CFS!D10)+ABS(E60-CFS!E10)+ABS(F60-CFS!F10))&lt;5,"✓","✗ "&amp;TEXT(ABS(B60-CFS!B10)+ABS(C60-CFS!C10)+ABS(D60-CFS!D10)+ABS(E60-CFS!E10)+ABS(F60-CFS!F10),"#,##0"))</f>
        <v>✓</v>
      </c>
      <c r="H60" s="346" t="s">
        <v>210</v>
      </c>
      <c r="I60" s="346"/>
      <c r="J60" s="346"/>
    </row>
    <row r="61" spans="1:10" ht="15.75" customHeight="1">
      <c r="A61" s="144" t="s">
        <v>87</v>
      </c>
      <c r="B61" s="145">
        <v>7906</v>
      </c>
      <c r="C61" s="145">
        <v>9038</v>
      </c>
      <c r="D61" s="145">
        <v>10833</v>
      </c>
      <c r="E61" s="145">
        <v>11688</v>
      </c>
      <c r="F61" s="145">
        <v>12863</v>
      </c>
      <c r="G61" s="9" t="str">
        <f>IF((ABS(B61-CFS!B12)+ABS(C61-CFS!C12)+ABS(D61-CFS!D12)+ABS(E61-CFS!E12)+ABS(F61-CFS!F12))&lt;5,"✓","✗ "&amp;TEXT(ABS(B61-CFS!B12)+ABS(C61-CFS!C12)+ABS(D61-CFS!D12)+ABS(E61-CFS!E12)+ABS(F61-CFS!F12),"#,##0"))</f>
        <v>✓</v>
      </c>
      <c r="H61" s="345" t="s">
        <v>210</v>
      </c>
      <c r="I61" s="345"/>
      <c r="J61" s="345"/>
    </row>
    <row r="62" spans="1:10" ht="15.75" customHeight="1">
      <c r="A62" s="146" t="s">
        <v>211</v>
      </c>
      <c r="B62" s="147">
        <v>-9832</v>
      </c>
      <c r="C62" s="147">
        <v>2206</v>
      </c>
      <c r="D62" s="147">
        <v>-8804</v>
      </c>
      <c r="E62" s="147">
        <v>1385</v>
      </c>
      <c r="F62" s="147">
        <v>-25089</v>
      </c>
      <c r="G62" s="10" t="str">
        <f>IF((ABS(B62-CFS!B13)+ABS(C62-CFS!C13)+ABS(D62-CFS!D13)+ABS(E62-CFS!E13)+ABS(F62-CFS!F13))&lt;5,"✓","✗ "&amp;TEXT(ABS(B62-CFS!B13)+ABS(C62-CFS!C13)+ABS(D62-CFS!D13)+ABS(E62-CFS!E13)+ABS(F62-CFS!F13),"#,##0"))</f>
        <v>✓</v>
      </c>
      <c r="H62" s="346" t="s">
        <v>212</v>
      </c>
      <c r="I62" s="346"/>
      <c r="J62" s="346"/>
    </row>
    <row r="63" spans="1:10" ht="15.75" customHeight="1">
      <c r="A63" s="149" t="s">
        <v>45</v>
      </c>
      <c r="B63" s="150">
        <v>104038</v>
      </c>
      <c r="C63" s="150">
        <v>122151</v>
      </c>
      <c r="D63" s="150">
        <v>110543</v>
      </c>
      <c r="E63" s="150">
        <v>118254</v>
      </c>
      <c r="F63" s="150">
        <v>111482</v>
      </c>
      <c r="G63" s="9" t="str">
        <f>IF((ABS(B63-CFS!B14)+ABS(C63-CFS!C14)+ABS(D63-CFS!D14)+ABS(E63-CFS!E14)+ABS(F63-CFS!F14))&lt;5,"✓","✗ "&amp;TEXT(ABS(B63-CFS!B14)+ABS(C63-CFS!C14)+ABS(D63-CFS!D14)+ABS(E63-CFS!E14)+ABS(F63-CFS!F14),"#,##0"))</f>
        <v>✓</v>
      </c>
      <c r="H63" s="345" t="s">
        <v>210</v>
      </c>
      <c r="I63" s="345"/>
      <c r="J63" s="345"/>
    </row>
    <row r="64" spans="1:10" ht="15.75" customHeight="1">
      <c r="A64" s="146" t="s">
        <v>46</v>
      </c>
      <c r="B64" s="147">
        <v>-11085</v>
      </c>
      <c r="C64" s="147">
        <v>-10708</v>
      </c>
      <c r="D64" s="147">
        <v>-10959</v>
      </c>
      <c r="E64" s="147">
        <v>-9447</v>
      </c>
      <c r="F64" s="147">
        <v>-12715</v>
      </c>
      <c r="G64" s="10" t="str">
        <f>IF((ABS(B64-CFS!B19)+ABS(C64-CFS!C19)+ABS(D64-CFS!D19)+ABS(E64-CFS!E19)+ABS(F64-CFS!F19))&lt;5,"✓","✗ "&amp;TEXT(ABS(B64-CFS!B19)+ABS(C64-CFS!C19)+ABS(D64-CFS!D19)+ABS(E64-CFS!E19)+ABS(F64-CFS!F19),"#,##0"))</f>
        <v>✓</v>
      </c>
      <c r="H64" s="346" t="s">
        <v>210</v>
      </c>
      <c r="I64" s="346"/>
      <c r="J64" s="346"/>
    </row>
    <row r="65" spans="1:10" ht="15.75" customHeight="1">
      <c r="A65" s="144" t="s">
        <v>88</v>
      </c>
      <c r="B65" s="145">
        <v>-3460</v>
      </c>
      <c r="C65" s="145">
        <v>-11646</v>
      </c>
      <c r="D65" s="145">
        <v>14664</v>
      </c>
      <c r="E65" s="145">
        <v>12382</v>
      </c>
      <c r="F65" s="145">
        <v>27910</v>
      </c>
      <c r="G65" s="9" t="str">
        <f>IF((ABS(B65-CFS!B20)+ABS(C65-CFS!C20)+ABS(D65-CFS!D20)+ABS(E65-CFS!E20)+ABS(F65-CFS!F20))&lt;5,"✓","✗ "&amp;TEXT(ABS(B65-CFS!B20)+ABS(C65-CFS!C20)+ABS(D65-CFS!D20)+ABS(E65-CFS!E20)+ABS(F65-CFS!F20),"#,##0"))</f>
        <v>✓</v>
      </c>
      <c r="H65" s="345" t="s">
        <v>213</v>
      </c>
      <c r="I65" s="345"/>
      <c r="J65" s="345"/>
    </row>
    <row r="66" spans="1:10" ht="15.75" customHeight="1">
      <c r="A66" s="151" t="s">
        <v>89</v>
      </c>
      <c r="B66" s="152">
        <v>-14545</v>
      </c>
      <c r="C66" s="152">
        <v>-22354</v>
      </c>
      <c r="D66" s="152">
        <v>3705</v>
      </c>
      <c r="E66" s="152">
        <v>2935</v>
      </c>
      <c r="F66" s="152">
        <v>15195</v>
      </c>
      <c r="G66" s="10" t="str">
        <f>IF((ABS(B66-CFS!B17)+ABS(C66-CFS!C17)+ABS(D66-CFS!D17)+ABS(E66-CFS!E17)+ABS(F66-CFS!F17))&lt;5,"✓","✗ "&amp;TEXT(ABS(B66-CFS!B17)+ABS(C66-CFS!C17)+ABS(D66-CFS!D17)+ABS(E66-CFS!E17)+ABS(F66-CFS!F17),"#,##0"))</f>
        <v>✓</v>
      </c>
      <c r="H66" s="346" t="s">
        <v>210</v>
      </c>
      <c r="I66" s="346"/>
      <c r="J66" s="346"/>
    </row>
    <row r="67" spans="1:10" ht="15.75" customHeight="1">
      <c r="A67" s="149" t="s">
        <v>214</v>
      </c>
      <c r="B67" s="150">
        <v>92953</v>
      </c>
      <c r="C67" s="150">
        <v>111443</v>
      </c>
      <c r="D67" s="150">
        <v>99584</v>
      </c>
      <c r="E67" s="150">
        <v>108807</v>
      </c>
      <c r="F67" s="150">
        <v>98767</v>
      </c>
      <c r="G67" s="9" t="str">
        <f>IF((ABS(B67-CFS!B21)+ABS(C67-CFS!C21)+ABS(D67-CFS!D21)+ABS(E67-CFS!E21)+ABS(F67-CFS!F21))&lt;5,"✓","✗ "&amp;TEXT(ABS(B67-CFS!B21)+ABS(C67-CFS!C21)+ABS(D67-CFS!D21)+ABS(E67-CFS!E21)+ABS(F67-CFS!F21),"#,##0"))</f>
        <v>✓</v>
      </c>
      <c r="H67" s="345" t="s">
        <v>184</v>
      </c>
      <c r="I67" s="345"/>
      <c r="J67" s="345"/>
    </row>
    <row r="68" spans="1:10" ht="15.75" customHeight="1">
      <c r="A68" s="146" t="s">
        <v>49</v>
      </c>
      <c r="B68" s="147">
        <v>-14467</v>
      </c>
      <c r="C68" s="147">
        <v>-14841</v>
      </c>
      <c r="D68" s="147">
        <v>-15025</v>
      </c>
      <c r="E68" s="147">
        <v>-15234</v>
      </c>
      <c r="F68" s="147">
        <v>-15421</v>
      </c>
      <c r="G68" s="10" t="str">
        <f>IF((ABS(B68-CFS!B24)+ABS(C68-CFS!C24)+ABS(D68-CFS!D24)+ABS(E68-CFS!E24)+ABS(F68-CFS!F24))&lt;5,"✓","✗ "&amp;TEXT(ABS(B68-CFS!B24)+ABS(C68-CFS!C24)+ABS(D68-CFS!D24)+ABS(E68-CFS!E24)+ABS(F68-CFS!F24),"#,##0"))</f>
        <v>✓</v>
      </c>
      <c r="H68" s="346" t="s">
        <v>210</v>
      </c>
      <c r="I68" s="346"/>
      <c r="J68" s="346"/>
    </row>
    <row r="69" spans="1:10" ht="15.75" customHeight="1">
      <c r="A69" s="144" t="s">
        <v>50</v>
      </c>
      <c r="B69" s="145">
        <v>-85971</v>
      </c>
      <c r="C69" s="145">
        <v>-89402</v>
      </c>
      <c r="D69" s="145">
        <v>-77550</v>
      </c>
      <c r="E69" s="145">
        <v>-94949</v>
      </c>
      <c r="F69" s="145">
        <v>-90711</v>
      </c>
      <c r="G69" s="9" t="str">
        <f>IF((ABS(B69-CFS!B25)+ABS(C69-CFS!C25)+ABS(D69-CFS!D25)+ABS(E69-CFS!E25)+ABS(F69-CFS!F25))&lt;5,"✓","✗ "&amp;TEXT(ABS(B69-CFS!B25)+ABS(C69-CFS!C25)+ABS(D69-CFS!D25)+ABS(E69-CFS!E25)+ABS(F69-CFS!F25),"#,##0"))</f>
        <v>✓</v>
      </c>
      <c r="H69" s="345" t="s">
        <v>210</v>
      </c>
      <c r="I69" s="345"/>
      <c r="J69" s="345"/>
    </row>
    <row r="70" spans="1:10" ht="15.75" customHeight="1">
      <c r="A70" s="146" t="s">
        <v>91</v>
      </c>
      <c r="B70" s="147">
        <v>7085</v>
      </c>
      <c r="C70" s="147">
        <v>-6506</v>
      </c>
      <c r="D70" s="147">
        <v>-15913</v>
      </c>
      <c r="E70" s="147">
        <v>-11800</v>
      </c>
      <c r="F70" s="147">
        <v>-14554</v>
      </c>
      <c r="G70" s="10" t="str">
        <f>IF((ABS(B70-CFS!B26)+ABS(C70-CFS!C26)+ABS(D70-CFS!D26)+ABS(E70-CFS!E26)+ABS(F70-CFS!F26))&lt;5,"✓","✗ "&amp;TEXT(ABS(B70-CFS!B26)+ABS(C70-CFS!C26)+ABS(D70-CFS!D26)+ABS(E70-CFS!E26)+ABS(F70-CFS!F26),"#,##0"))</f>
        <v>✓</v>
      </c>
      <c r="H70" s="346" t="s">
        <v>215</v>
      </c>
      <c r="I70" s="346"/>
      <c r="J70" s="346"/>
    </row>
    <row r="71" spans="1:10" ht="15.75" customHeight="1">
      <c r="A71" s="149" t="s">
        <v>92</v>
      </c>
      <c r="B71" s="150">
        <v>-93353</v>
      </c>
      <c r="C71" s="150">
        <v>-110749</v>
      </c>
      <c r="D71" s="150">
        <v>-108488</v>
      </c>
      <c r="E71" s="150">
        <v>-121983</v>
      </c>
      <c r="F71" s="150">
        <v>-120686</v>
      </c>
      <c r="G71" s="9" t="str">
        <f>IF((ABS(B71-CFS!B27)+ABS(C71-CFS!C27)+ABS(D71-CFS!D27)+ABS(E71-CFS!E27)+ABS(F71-CFS!F27))&lt;5,"✓","✗ "&amp;TEXT(ABS(B71-CFS!B27)+ABS(C71-CFS!C27)+ABS(D71-CFS!D27)+ABS(E71-CFS!E27)+ABS(F71-CFS!F27),"#,##0"))</f>
        <v>✓</v>
      </c>
      <c r="H71" s="345" t="s">
        <v>210</v>
      </c>
      <c r="I71" s="345"/>
      <c r="J71" s="345"/>
    </row>
    <row r="72" spans="1:10" ht="15.75" customHeight="1">
      <c r="A72" s="151" t="s">
        <v>216</v>
      </c>
      <c r="B72" s="152">
        <v>-3860</v>
      </c>
      <c r="C72" s="152">
        <v>-10952</v>
      </c>
      <c r="D72" s="152">
        <v>5760</v>
      </c>
      <c r="E72" s="152">
        <v>-794</v>
      </c>
      <c r="F72" s="152">
        <v>5991</v>
      </c>
      <c r="G72" s="10" t="str">
        <f>IF((ABS(B72-CFS!B29)+ABS(C72-CFS!C29)+ABS(D72-CFS!D29)+ABS(E72-CFS!E29)+ABS(F72-CFS!F29))&lt;5,"✓","✗ "&amp;TEXT(ABS(B72-CFS!B29)+ABS(C72-CFS!C29)+ABS(D72-CFS!D29)+ABS(E72-CFS!E29)+ABS(F72-CFS!F29),"#,##0"))</f>
        <v>✓</v>
      </c>
      <c r="H72" s="346" t="s">
        <v>184</v>
      </c>
      <c r="I72" s="346"/>
      <c r="J72" s="346"/>
    </row>
    <row r="73" spans="1:10" ht="15.75" customHeight="1">
      <c r="A73" s="149" t="s">
        <v>217</v>
      </c>
      <c r="B73" s="150">
        <v>35929</v>
      </c>
      <c r="C73" s="150">
        <v>24977</v>
      </c>
      <c r="D73" s="150">
        <v>30737</v>
      </c>
      <c r="E73" s="150">
        <v>29943</v>
      </c>
      <c r="F73" s="150">
        <v>35934</v>
      </c>
      <c r="G73" s="9" t="str">
        <f>IF((ABS(B73-CFS!B30)+ABS(C73-CFS!C30)+ABS(D73-CFS!D30)+ABS(E73-CFS!E30)+ABS(F73-CFS!F30))&lt;5,"✓","✗ "&amp;TEXT(ABS(B73-CFS!B30)+ABS(C73-CFS!C30)+ABS(D73-CFS!D30)+ABS(E73-CFS!E30)+ABS(F73-CFS!F30),"#,##0"))</f>
        <v>✓</v>
      </c>
      <c r="H73" s="345" t="s">
        <v>210</v>
      </c>
      <c r="I73" s="345"/>
      <c r="J73" s="345"/>
    </row>
    <row r="76" spans="1:10" ht="21.75" customHeight="1">
      <c r="A76" s="347" t="s">
        <v>218</v>
      </c>
      <c r="B76" s="347"/>
      <c r="C76" s="347"/>
      <c r="D76" s="347"/>
      <c r="E76" s="347"/>
      <c r="F76" s="347"/>
      <c r="G76" s="347"/>
      <c r="H76" s="347"/>
      <c r="I76" s="347"/>
      <c r="J76" s="347"/>
    </row>
    <row r="78" spans="1:10" ht="19.5" customHeight="1">
      <c r="A78" s="348" t="s">
        <v>219</v>
      </c>
      <c r="B78" s="348"/>
      <c r="C78" s="348"/>
      <c r="D78" s="348"/>
      <c r="E78" s="349">
        <f>COUNTA(G16:G31)+COUNTA(G36:G54)+COUNTA(G59:G73)</f>
        <v>50</v>
      </c>
      <c r="F78" s="350"/>
      <c r="G78" s="350"/>
      <c r="H78" s="350"/>
      <c r="I78" s="350"/>
      <c r="J78" s="350"/>
    </row>
    <row r="79" spans="1:10" ht="19.5" customHeight="1">
      <c r="A79" s="348" t="s">
        <v>220</v>
      </c>
      <c r="B79" s="348"/>
      <c r="C79" s="348"/>
      <c r="D79" s="348"/>
      <c r="E79" s="351" t="str">
        <f>COUNTIF(G16:G31,"✓*")+COUNTIF(G36:G54,"✓*")+COUNTIF(G59:G73,"✓*")&amp;" of "&amp;(COUNTA(G16:G31)+COUNTA(G36:G54)+COUNTA(G59:G73))&amp;" ("&amp;TEXT((COUNTIF(G16:G31,"✓*")+COUNTIF(G36:G54,"✓*")+COUNTIF(G59:G73,"✓*"))/(COUNTA(G16:G31)+COUNTA(G36:G54)+COUNTA(G59:G73)),"0%")&amp;")"</f>
        <v>50 of 50 (100%)</v>
      </c>
      <c r="F79" s="350"/>
      <c r="G79" s="350"/>
      <c r="H79" s="350"/>
      <c r="I79" s="350"/>
      <c r="J79" s="350"/>
    </row>
    <row r="80" spans="1:10" ht="19.5" customHeight="1">
      <c r="A80" s="348" t="s">
        <v>221</v>
      </c>
      <c r="B80" s="348"/>
      <c r="C80" s="348"/>
      <c r="D80" s="348"/>
      <c r="E80" s="352">
        <f>COUNTIF(G16:G31,"✗*")+COUNTIF(G36:G54,"✗*")+COUNTIF(G59:G73,"✗*")</f>
        <v>0</v>
      </c>
      <c r="F80" s="350"/>
      <c r="G80" s="350"/>
      <c r="H80" s="350"/>
      <c r="I80" s="350"/>
      <c r="J80" s="350"/>
    </row>
    <row r="81" spans="1:10" ht="19.5" customHeight="1">
      <c r="A81" s="348" t="s">
        <v>222</v>
      </c>
      <c r="B81" s="348"/>
      <c r="C81" s="348"/>
      <c r="D81" s="348"/>
      <c r="E81" s="353" t="str">
        <f>IF(COUNTIF(B114:J114,"✓")=9,"$0 in all 9 years (5 historical + 4 projected)","⚠ IMBALANCE: "&amp;(9-COUNTIF(B114:J114,"✓"))&amp;" year(s) fail BS check — see row 114")</f>
        <v>$0 in all 9 years (5 historical + 4 projected)</v>
      </c>
      <c r="F81" s="350"/>
      <c r="G81" s="350"/>
      <c r="H81" s="350"/>
      <c r="I81" s="350"/>
      <c r="J81" s="350"/>
    </row>
    <row r="82" spans="1:10" ht="19.5" customHeight="1">
      <c r="A82" s="348" t="s">
        <v>223</v>
      </c>
      <c r="B82" s="348"/>
      <c r="C82" s="348"/>
      <c r="D82" s="348"/>
      <c r="E82" s="353" t="str">
        <f>IF(COUNTIF(B115:J115,"✓")+COUNTIF(B115:J115,"n/a")=9,"✓ All years: ending cash flows to next period’s beginning","✗ CASH TIE BROKEN")</f>
        <v>✓ All years: ending cash flows to next period’s beginning</v>
      </c>
      <c r="F82" s="350"/>
      <c r="G82" s="350"/>
      <c r="H82" s="350"/>
      <c r="I82" s="350"/>
      <c r="J82" s="350"/>
    </row>
    <row r="83" spans="1:10" ht="19.5" customHeight="1">
      <c r="A83" s="348" t="s">
        <v>224</v>
      </c>
      <c r="B83" s="348"/>
      <c r="C83" s="348"/>
      <c r="D83" s="348"/>
      <c r="E83" s="350" t="s">
        <v>225</v>
      </c>
      <c r="F83" s="350"/>
      <c r="G83" s="350"/>
      <c r="H83" s="350"/>
      <c r="I83" s="350"/>
      <c r="J83" s="350"/>
    </row>
    <row r="84" spans="1:10" ht="19.5" customHeight="1">
      <c r="A84" s="348" t="s">
        <v>226</v>
      </c>
      <c r="B84" s="348"/>
      <c r="C84" s="348"/>
      <c r="D84" s="348"/>
      <c r="E84" s="350" t="s">
        <v>227</v>
      </c>
      <c r="F84" s="350"/>
      <c r="G84" s="350"/>
      <c r="H84" s="350"/>
      <c r="I84" s="350"/>
      <c r="J84" s="350"/>
    </row>
    <row r="87" spans="1:10" ht="15" customHeight="1">
      <c r="A87" s="88" t="s">
        <v>228</v>
      </c>
    </row>
    <row r="88" spans="1:10" ht="18" customHeight="1">
      <c r="A88" s="354" t="s">
        <v>229</v>
      </c>
      <c r="B88" s="354"/>
      <c r="C88" s="354"/>
      <c r="D88" s="354"/>
      <c r="E88" s="354"/>
      <c r="F88" s="354"/>
      <c r="G88" s="354"/>
      <c r="H88" s="354"/>
      <c r="I88" s="354"/>
      <c r="J88" s="354"/>
    </row>
    <row r="89" spans="1:10" ht="18" customHeight="1">
      <c r="A89" s="354" t="s">
        <v>230</v>
      </c>
      <c r="B89" s="354"/>
      <c r="C89" s="354"/>
      <c r="D89" s="354"/>
      <c r="E89" s="354"/>
      <c r="F89" s="354"/>
      <c r="G89" s="354"/>
      <c r="H89" s="354"/>
      <c r="I89" s="354"/>
      <c r="J89" s="354"/>
    </row>
    <row r="90" spans="1:10" ht="18" customHeight="1">
      <c r="A90" s="354" t="s">
        <v>231</v>
      </c>
      <c r="B90" s="354"/>
      <c r="C90" s="354"/>
      <c r="D90" s="354"/>
      <c r="E90" s="354"/>
      <c r="F90" s="354"/>
      <c r="G90" s="354"/>
      <c r="H90" s="354"/>
      <c r="I90" s="354"/>
      <c r="J90" s="354"/>
    </row>
    <row r="91" spans="1:10" ht="18" customHeight="1">
      <c r="A91" s="354" t="s">
        <v>232</v>
      </c>
      <c r="B91" s="354"/>
      <c r="C91" s="354"/>
      <c r="D91" s="354"/>
      <c r="E91" s="354"/>
      <c r="F91" s="354"/>
      <c r="G91" s="354"/>
      <c r="H91" s="354"/>
      <c r="I91" s="354"/>
      <c r="J91" s="354"/>
    </row>
    <row r="92" spans="1:10" ht="18" customHeight="1">
      <c r="A92" s="354" t="s">
        <v>233</v>
      </c>
      <c r="B92" s="354"/>
      <c r="C92" s="354"/>
      <c r="D92" s="354"/>
      <c r="E92" s="354"/>
      <c r="F92" s="354"/>
      <c r="G92" s="354"/>
      <c r="H92" s="354"/>
      <c r="I92" s="354"/>
      <c r="J92" s="354"/>
    </row>
    <row r="93" spans="1:10" ht="18" customHeight="1">
      <c r="A93" s="354" t="s">
        <v>234</v>
      </c>
      <c r="B93" s="354"/>
      <c r="C93" s="354"/>
      <c r="D93" s="354"/>
      <c r="E93" s="354"/>
      <c r="F93" s="354"/>
      <c r="G93" s="354"/>
      <c r="H93" s="354"/>
      <c r="I93" s="354"/>
      <c r="J93" s="354"/>
    </row>
    <row r="94" spans="1:10" ht="18" customHeight="1">
      <c r="A94" s="354" t="s">
        <v>235</v>
      </c>
      <c r="B94" s="354"/>
      <c r="C94" s="354"/>
      <c r="D94" s="354"/>
      <c r="E94" s="354"/>
      <c r="F94" s="354"/>
      <c r="G94" s="354"/>
      <c r="H94" s="354"/>
      <c r="I94" s="354"/>
      <c r="J94" s="354"/>
    </row>
    <row r="96" spans="1:10" ht="15.5">
      <c r="A96" s="287" t="s">
        <v>712</v>
      </c>
    </row>
    <row r="97" spans="1:7">
      <c r="A97" s="288" t="s">
        <v>713</v>
      </c>
    </row>
    <row r="99" spans="1:7">
      <c r="A99" s="289" t="s">
        <v>180</v>
      </c>
      <c r="B99" s="290" t="s">
        <v>4</v>
      </c>
      <c r="C99" s="290" t="s">
        <v>16</v>
      </c>
      <c r="D99" s="290" t="s">
        <v>17</v>
      </c>
      <c r="E99" s="290" t="s">
        <v>692</v>
      </c>
      <c r="G99" s="291" t="s">
        <v>714</v>
      </c>
    </row>
    <row r="100" spans="1:7">
      <c r="A100" t="s">
        <v>715</v>
      </c>
      <c r="B100" t="str">
        <f>IF(AND(IS!G15&gt;=-0.05,IS!G15&lt;=0.15),"✓ "&amp;TEXT(IS!G15,"0.0%"),"✗ "&amp;TEXT(IS!G15,"0.0%"))</f>
        <v>✓ 8.2%</v>
      </c>
      <c r="C100" t="str">
        <f>IF(AND(IS!H15&gt;=-0.05,IS!H15&lt;=0.15),"✓ "&amp;TEXT(IS!H15,"0.0%"),"✗ "&amp;TEXT(IS!H15,"0.0%"))</f>
        <v>✓ 8.3%</v>
      </c>
      <c r="D100" t="str">
        <f>IF(AND(IS!I15&gt;=-0.05,IS!I15&lt;=0.15),"✓ "&amp;TEXT(IS!I15,"0.0%"),"✗ "&amp;TEXT(IS!I15,"0.0%"))</f>
        <v>✓ 8.4%</v>
      </c>
      <c r="E100" t="str">
        <f>IF(AND(IS!J15&gt;=-0.05,IS!J15&lt;=0.15),"✓ "&amp;TEXT(IS!J15,"0.0%"),"✗ "&amp;TEXT(IS!J15,"0.0%"))</f>
        <v>✓ 8.5%</v>
      </c>
      <c r="G100" s="288" t="s">
        <v>716</v>
      </c>
    </row>
    <row r="101" spans="1:7">
      <c r="A101" t="s">
        <v>717</v>
      </c>
      <c r="B101" t="str">
        <f>IF(AND(IS!G22&gt;=0.4,IS!G22&lt;=0.55),"✓ "&amp;TEXT(IS!G22,"0.0%"),"✗ "&amp;TEXT(IS!G22,"0.0%"))</f>
        <v>✓ 50.9%</v>
      </c>
      <c r="C101" t="str">
        <f>IF(AND(IS!H22&gt;=0.4,IS!H22&lt;=0.55),"✓ "&amp;TEXT(IS!H22,"0.0%"),"✗ "&amp;TEXT(IS!H22,"0.0%"))</f>
        <v>✓ 51.4%</v>
      </c>
      <c r="D101" t="str">
        <f>IF(AND(IS!I22&gt;=0.4,IS!I22&lt;=0.55),"✓ "&amp;TEXT(IS!I22,"0.0%"),"✗ "&amp;TEXT(IS!I22,"0.0%"))</f>
        <v>✓ 52.0%</v>
      </c>
      <c r="E101" t="str">
        <f>IF(AND(IS!J22&gt;=0.4,IS!J22&lt;=0.55),"✓ "&amp;TEXT(IS!J22,"0.0%"),"✗ "&amp;TEXT(IS!J22,"0.0%"))</f>
        <v>✓ 52.5%</v>
      </c>
      <c r="G101" s="288" t="s">
        <v>718</v>
      </c>
    </row>
    <row r="102" spans="1:7">
      <c r="A102" t="s">
        <v>719</v>
      </c>
      <c r="B102" t="str">
        <f>IF(AND(IS!G29&gt;=0.25,IS!G29&lt;=0.4),"✓ "&amp;TEXT(IS!G29,"0.0%"),"✗ "&amp;TEXT(IS!G29,"0.0%"))</f>
        <v>✓ 36.5%</v>
      </c>
      <c r="C102" t="str">
        <f>IF(AND(IS!H29&gt;=0.25,IS!H29&lt;=0.4),"✓ "&amp;TEXT(IS!H29,"0.0%"),"✗ "&amp;TEXT(IS!H29,"0.0%"))</f>
        <v>✓ 37.6%</v>
      </c>
      <c r="D102" t="str">
        <f>IF(AND(IS!I29&gt;=0.25,IS!I29&lt;=0.4),"✓ "&amp;TEXT(IS!I29,"0.0%"),"✗ "&amp;TEXT(IS!I29,"0.0%"))</f>
        <v>✓ 38.7%</v>
      </c>
      <c r="E102" t="str">
        <f>IF(AND(IS!J29&gt;=0.25,IS!J29&lt;=0.4),"✓ "&amp;TEXT(IS!J29,"0.0%"),"✗ "&amp;TEXT(IS!J29,"0.0%"))</f>
        <v>✓ 39.8%</v>
      </c>
      <c r="G102" s="288" t="s">
        <v>720</v>
      </c>
    </row>
    <row r="103" spans="1:7">
      <c r="A103" t="s">
        <v>721</v>
      </c>
      <c r="B103" t="str">
        <f>IF(AND(IS!G37&gt;=0.1,IS!G37&lt;=0.25),"✓ "&amp;TEXT(IS!G37,"0.0%"),"✗ "&amp;TEXT(IS!G37,"0.0%"))</f>
        <v>✓ 13.0%</v>
      </c>
      <c r="C103" t="str">
        <f>IF(AND(IS!H37&gt;=0.1,IS!H37&lt;=0.25),"✓ "&amp;TEXT(IS!H37,"0.0%"),"✗ "&amp;TEXT(IS!H37,"0.0%"))</f>
        <v>✓ 13.0%</v>
      </c>
      <c r="D103" t="str">
        <f>IF(AND(IS!I37&gt;=0.1,IS!I37&lt;=0.25),"✓ "&amp;TEXT(IS!I37,"0.0%"),"✗ "&amp;TEXT(IS!I37,"0.0%"))</f>
        <v>✓ 13.0%</v>
      </c>
      <c r="E103" t="str">
        <f>IF(AND(IS!J37&gt;=0.1,IS!J37&lt;=0.25),"✓ "&amp;TEXT(IS!J37,"0.0%"),"✗ "&amp;TEXT(IS!J37,"0.0%"))</f>
        <v>✓ 13.0%</v>
      </c>
      <c r="G103" s="288" t="s">
        <v>722</v>
      </c>
    </row>
    <row r="104" spans="1:7">
      <c r="A104" t="s">
        <v>723</v>
      </c>
      <c r="B104" t="str">
        <f>IF(AND(IS!G39&gt;=0.2,IS!G39&lt;=0.35),"✓ "&amp;TEXT(IS!G39,"0.0%"),"✗ "&amp;TEXT(IS!G39,"0.0%"))</f>
        <v>✓ 31.8%</v>
      </c>
      <c r="C104" t="str">
        <f>IF(AND(IS!H39&gt;=0.2,IS!H39&lt;=0.35),"✓ "&amp;TEXT(IS!H39,"0.0%"),"✗ "&amp;TEXT(IS!H39,"0.0%"))</f>
        <v>✓ 32.8%</v>
      </c>
      <c r="D104" t="str">
        <f>IF(AND(IS!I39&gt;=0.2,IS!I39&lt;=0.35),"✓ "&amp;TEXT(IS!I39,"0.0%"),"✗ "&amp;TEXT(IS!I39,"0.0%"))</f>
        <v>✓ 33.8%</v>
      </c>
      <c r="E104" t="str">
        <f>IF(AND(IS!J39&gt;=0.2,IS!J39&lt;=0.35),"✓ "&amp;TEXT(IS!J39,"0.0%"),"✗ "&amp;TEXT(IS!J39,"0.0%"))</f>
        <v>✓ 34.7%</v>
      </c>
      <c r="G104" s="288" t="s">
        <v>724</v>
      </c>
    </row>
    <row r="105" spans="1:7">
      <c r="A105" t="s">
        <v>725</v>
      </c>
      <c r="B105" t="str">
        <f>IF(AND(-CFS!G19/IS!G14&gt;=0.015,-CFS!G19/IS!G14&lt;=0.05),"✓ "&amp;TEXT(-CFS!G19/IS!G14,"0.0%"),"✗ "&amp;TEXT(-CFS!G19/IS!G14,"0.0%"))</f>
        <v>✓ 2.2%</v>
      </c>
      <c r="C105" t="str">
        <f>IF(AND(-CFS!H19/IS!H14&gt;=0.015,-CFS!H19/IS!H14&lt;=0.05),"✓ "&amp;TEXT(-CFS!H19/IS!H14,"0.0%"),"✗ "&amp;TEXT(-CFS!H19/IS!H14,"0.0%"))</f>
        <v>✓ 2.2%</v>
      </c>
      <c r="D105" t="str">
        <f>IF(AND(-CFS!I19/IS!I14&gt;=0.015,-CFS!I19/IS!I14&lt;=0.05),"✓ "&amp;TEXT(-CFS!I19/IS!I14,"0.0%"),"✗ "&amp;TEXT(-CFS!I19/IS!I14,"0.0%"))</f>
        <v>✓ 2.2%</v>
      </c>
      <c r="E105" t="str">
        <f>IF(AND(-CFS!J19/IS!J14&gt;=0.015,-CFS!J19/IS!J14&lt;=0.05),"✓ "&amp;TEXT(-CFS!J19/IS!J14,"0.0%"),"✗ "&amp;TEXT(-CFS!J19/IS!J14,"0.0%"))</f>
        <v>✓ 2.2%</v>
      </c>
      <c r="G105" s="288" t="s">
        <v>726</v>
      </c>
    </row>
    <row r="106" spans="1:7">
      <c r="A106" t="s">
        <v>727</v>
      </c>
      <c r="B106" t="str">
        <f>IF(AND(CFS!G21/IS!G14&gt;=0.2,CFS!G21/IS!G14&lt;=0.4),"✓ "&amp;TEXT(CFS!G21/IS!G14,"0.0%"),"✗ "&amp;TEXT(CFS!G21/IS!G14,"0.0%"))</f>
        <v>✓ 32.0%</v>
      </c>
      <c r="C106" t="str">
        <f>IF(AND(CFS!H21/IS!H14&gt;=0.2,CFS!H21/IS!H14&lt;=0.4),"✓ "&amp;TEXT(CFS!H21/IS!H14,"0.0%"),"✗ "&amp;TEXT(CFS!H21/IS!H14,"0.0%"))</f>
        <v>✓ 32.4%</v>
      </c>
      <c r="D106" t="str">
        <f>IF(AND(CFS!I21/IS!I14&gt;=0.2,CFS!I21/IS!I14&lt;=0.4),"✓ "&amp;TEXT(CFS!I21/IS!I14,"0.0%"),"✗ "&amp;TEXT(CFS!I21/IS!I14,"0.0%"))</f>
        <v>✓ 37.1%</v>
      </c>
      <c r="E106" t="str">
        <f>IF(AND(CFS!J21/IS!J14&gt;=0.2,CFS!J21/IS!J14&lt;=0.4),"✓ "&amp;TEXT(CFS!J21/IS!J14,"0.0%"),"✗ "&amp;TEXT(CFS!J21/IS!J14,"0.0%"))</f>
        <v>✓ 39.6%</v>
      </c>
      <c r="G106" s="288" t="s">
        <v>728</v>
      </c>
    </row>
    <row r="107" spans="1:7">
      <c r="A107" t="s">
        <v>729</v>
      </c>
      <c r="B107" t="str">
        <f>IF(IS!G38&gt;0,"✓ $"&amp;TEXT(IS!G38/1000,"0.0")&amp;"B","✗ NEGATIVE")</f>
        <v>✓ $143.4B</v>
      </c>
      <c r="C107" t="str">
        <f>IF(IS!H38&gt;0,"✓ $"&amp;TEXT(IS!H38/1000,"0.0")&amp;"B","✗ NEGATIVE")</f>
        <v>✓ $159.9B</v>
      </c>
      <c r="D107" t="str">
        <f>IF(IS!I38&gt;0,"✓ $"&amp;TEXT(IS!I38/1000,"0.0")&amp;"B","✗ NEGATIVE")</f>
        <v>✓ $178.5B</v>
      </c>
      <c r="E107" t="str">
        <f>IF(IS!J38&gt;0,"✓ $"&amp;TEXT(IS!J38/1000,"0.0")&amp;"B","✗ NEGATIVE")</f>
        <v>✓ $199.2B</v>
      </c>
      <c r="G107" s="288" t="s">
        <v>730</v>
      </c>
    </row>
    <row r="108" spans="1:7">
      <c r="A108" t="s">
        <v>731</v>
      </c>
      <c r="B108" t="str">
        <f>IF((BS!H5+BS!H6+BS!H15)&gt;0,"✓ $"&amp;TEXT((BS!H5+BS!H6+BS!H15)/1000,"0.0")&amp;"B","✗ NEGATIVE")</f>
        <v>✓ $94.1B</v>
      </c>
      <c r="C108" t="str">
        <f>IF((BS!I5+BS!I6+BS!I15)&gt;0,"✓ $"&amp;TEXT((BS!I5+BS!I6+BS!I15)/1000,"0.0")&amp;"B","✗ NEGATIVE")</f>
        <v>✓ $93.6B</v>
      </c>
      <c r="D108" t="str">
        <f>IF((BS!J5+BS!J6+BS!J15)&gt;0,"✓ $"&amp;TEXT((BS!J5+BS!J6+BS!J15)/1000,"0.0")&amp;"B","✗ NEGATIVE")</f>
        <v>✓ $73.5B</v>
      </c>
      <c r="E108" t="str">
        <f>IF((BS!K5+BS!K6+BS!K15)&gt;0,"✓ $"&amp;TEXT((BS!K5+BS!K6+BS!K15)/1000,"0.0")&amp;"B","✗ NEGATIVE")</f>
        <v>✓ $62.2B</v>
      </c>
      <c r="G108" s="288" t="s">
        <v>732</v>
      </c>
    </row>
    <row r="110" spans="1:7" ht="15.5">
      <c r="A110" s="286" t="s">
        <v>733</v>
      </c>
    </row>
    <row r="111" spans="1:7">
      <c r="A111" s="288" t="s">
        <v>734</v>
      </c>
    </row>
    <row r="113" spans="1:10">
      <c r="A113" s="289" t="s">
        <v>180</v>
      </c>
      <c r="B113" s="290" t="s">
        <v>11</v>
      </c>
      <c r="C113" s="290" t="s">
        <v>12</v>
      </c>
      <c r="D113" s="290" t="s">
        <v>13</v>
      </c>
      <c r="E113" s="290" t="s">
        <v>14</v>
      </c>
      <c r="F113" s="290" t="s">
        <v>15</v>
      </c>
      <c r="G113" s="290" t="s">
        <v>4</v>
      </c>
      <c r="H113" s="290" t="s">
        <v>16</v>
      </c>
      <c r="I113" s="290" t="s">
        <v>17</v>
      </c>
      <c r="J113" s="290" t="s">
        <v>692</v>
      </c>
    </row>
    <row r="114" spans="1:10">
      <c r="A114" t="s">
        <v>735</v>
      </c>
      <c r="B114" t="str">
        <f>IF(ABS(BS!C18-BS!C39)&lt;1,"✓","✗ "&amp;TEXT(BS!C18-BS!C39,"+#,##0;-#,##0"))</f>
        <v>✓</v>
      </c>
      <c r="C114" t="str">
        <f>IF(ABS(BS!D18-BS!D39)&lt;1,"✓","✗ "&amp;TEXT(BS!D18-BS!D39,"+#,##0;-#,##0"))</f>
        <v>✓</v>
      </c>
      <c r="D114" t="str">
        <f>IF(ABS(BS!E18-BS!E39)&lt;1,"✓","✗ "&amp;TEXT(BS!E18-BS!E39,"+#,##0;-#,##0"))</f>
        <v>✓</v>
      </c>
      <c r="E114" t="str">
        <f>IF(ABS(BS!F18-BS!F39)&lt;1,"✓","✗ "&amp;TEXT(BS!F18-BS!F39,"+#,##0;-#,##0"))</f>
        <v>✓</v>
      </c>
      <c r="F114" t="str">
        <f>IF(ABS(BS!G18-BS!G39)&lt;1,"✓","✗ "&amp;TEXT(BS!G18-BS!G39,"+#,##0;-#,##0"))</f>
        <v>✓</v>
      </c>
      <c r="G114" t="str">
        <f>IF(ABS(BS!H18-BS!H39)&lt;1,"✓","✗ "&amp;TEXT(BS!H18-BS!H39,"+#,##0;-#,##0"))</f>
        <v>✓</v>
      </c>
      <c r="H114" t="str">
        <f>IF(ABS(BS!I18-BS!I39)&lt;1,"✓","✗ "&amp;TEXT(BS!I18-BS!I39,"+#,##0;-#,##0"))</f>
        <v>✓</v>
      </c>
      <c r="I114" t="str">
        <f>IF(ABS(BS!J18-BS!J39)&lt;1,"✓","✗ "&amp;TEXT(BS!J18-BS!J39,"+#,##0;-#,##0"))</f>
        <v>✓</v>
      </c>
      <c r="J114" t="str">
        <f>IF(ABS(BS!K18-BS!K39)&lt;1,"✓","✗ "&amp;TEXT(BS!K18-BS!K39,"+#,##0;-#,##0"))</f>
        <v>✓</v>
      </c>
    </row>
    <row r="115" spans="1:10">
      <c r="A115" t="s">
        <v>736</v>
      </c>
      <c r="B115" s="292" t="s">
        <v>737</v>
      </c>
      <c r="C115" t="str">
        <f>IF(ABS(CFS!B30-CFS!C7)&lt;1,"✓","✗ "&amp;TEXT(CFS!B30-CFS!C7,"+#,##0;-#,##0"))</f>
        <v>✓</v>
      </c>
      <c r="D115" t="str">
        <f>IF(ABS(CFS!C30-CFS!D7)&lt;1,"✓","✗ "&amp;TEXT(CFS!C30-CFS!D7,"+#,##0;-#,##0"))</f>
        <v>✓</v>
      </c>
      <c r="E115" t="str">
        <f>IF(ABS(CFS!D30-CFS!E7)&lt;1,"✓","✗ "&amp;TEXT(CFS!D30-CFS!E7,"+#,##0;-#,##0"))</f>
        <v>✓</v>
      </c>
      <c r="F115" t="str">
        <f>IF(ABS(CFS!E30-CFS!F7)&lt;1,"✓","✗ "&amp;TEXT(CFS!E30-CFS!F7,"+#,##0;-#,##0"))</f>
        <v>✓</v>
      </c>
      <c r="G115" t="str">
        <f>IF(ABS(CFS!F30-CFS!G7)&lt;1,"✓","✗ "&amp;TEXT(CFS!F30-CFS!G7,"+#,##0;-#,##0"))</f>
        <v>✓</v>
      </c>
      <c r="H115" t="str">
        <f>IF(ABS(CFS!G30-CFS!H7)&lt;1,"✓","✗ "&amp;TEXT(CFS!G30-CFS!H7,"+#,##0;-#,##0"))</f>
        <v>✓</v>
      </c>
      <c r="I115" t="str">
        <f>IF(ABS(CFS!H30-CFS!I7)&lt;1,"✓","✗ "&amp;TEXT(CFS!H30-CFS!I7,"+#,##0;-#,##0"))</f>
        <v>✓</v>
      </c>
      <c r="J115" t="str">
        <f>IF(ABS(CFS!I30-CFS!J7)&lt;1,"✓","✗ "&amp;TEXT(CFS!I30-CFS!J7,"+#,##0;-#,##0"))</f>
        <v>✓</v>
      </c>
    </row>
    <row r="116" spans="1:10">
      <c r="A116" t="s">
        <v>738</v>
      </c>
      <c r="B116" t="str">
        <f>IF(ABS(CFS!B11-IS!B38)&lt;1,"✓","✗ "&amp;TEXT(CFS!B11-IS!B38,"+#,##0;-#,##0"))</f>
        <v>✓</v>
      </c>
      <c r="C116" t="str">
        <f>IF(ABS(CFS!C11-IS!C38)&lt;1,"✓","✗ "&amp;TEXT(CFS!C11-IS!C38,"+#,##0;-#,##0"))</f>
        <v>✓</v>
      </c>
      <c r="D116" t="str">
        <f>IF(ABS(CFS!D11-IS!D38)&lt;1,"✓","✗ "&amp;TEXT(CFS!D11-IS!D38,"+#,##0;-#,##0"))</f>
        <v>✓</v>
      </c>
      <c r="E116" t="str">
        <f>IF(ABS(CFS!E11-IS!E38)&lt;1,"✓","✗ "&amp;TEXT(CFS!E11-IS!E38,"+#,##0;-#,##0"))</f>
        <v>✓</v>
      </c>
      <c r="F116" t="str">
        <f>IF(ABS(CFS!F11-IS!F38)&lt;1,"✓","✗ "&amp;TEXT(CFS!F11-IS!F38,"+#,##0;-#,##0"))</f>
        <v>✓</v>
      </c>
      <c r="G116" t="str">
        <f>IF(ABS(CFS!G11-IS!G38)&lt;1,"✓","✗ "&amp;TEXT(CFS!G11-IS!G38,"+#,##0;-#,##0"))</f>
        <v>✓</v>
      </c>
      <c r="H116" t="str">
        <f>IF(ABS(CFS!H11-IS!H38)&lt;1,"✓","✗ "&amp;TEXT(CFS!H11-IS!H38,"+#,##0;-#,##0"))</f>
        <v>✓</v>
      </c>
      <c r="I116" t="str">
        <f>IF(ABS(CFS!I11-IS!I38)&lt;1,"✓","✗ "&amp;TEXT(CFS!I11-IS!I38,"+#,##0;-#,##0"))</f>
        <v>✓</v>
      </c>
      <c r="J116" t="str">
        <f>IF(ABS(CFS!J11-IS!J38)&lt;1,"✓","✗ "&amp;TEXT(CFS!J11-IS!J38,"+#,##0;-#,##0"))</f>
        <v>✓</v>
      </c>
    </row>
    <row r="117" spans="1:10">
      <c r="A117" t="s">
        <v>739</v>
      </c>
      <c r="B117" t="str">
        <f>IF(ABS(CFS!B10-IS!B30)&lt;1,"✓","✗ "&amp;TEXT(CFS!B10-IS!B30,"+#,##0;-#,##0"))</f>
        <v>✓</v>
      </c>
      <c r="C117" t="str">
        <f>IF(ABS(CFS!C10-IS!C30)&lt;1,"✓","✗ "&amp;TEXT(CFS!C10-IS!C30,"+#,##0;-#,##0"))</f>
        <v>✓</v>
      </c>
      <c r="D117" t="str">
        <f>IF(ABS(CFS!D10-IS!D30)&lt;1,"✓","✗ "&amp;TEXT(CFS!D10-IS!D30,"+#,##0;-#,##0"))</f>
        <v>✓</v>
      </c>
      <c r="E117" t="str">
        <f>IF(ABS(CFS!E10-IS!E30)&lt;1,"✓","✗ "&amp;TEXT(CFS!E10-IS!E30,"+#,##0;-#,##0"))</f>
        <v>✓</v>
      </c>
      <c r="F117" t="str">
        <f>IF(ABS(CFS!F10-IS!F30)&lt;1,"✓","✗ "&amp;TEXT(CFS!F10-IS!F30,"+#,##0;-#,##0"))</f>
        <v>✓</v>
      </c>
      <c r="G117" t="str">
        <f>IF(ABS(CFS!G10-IS!G30)&lt;1,"✓","✗ "&amp;TEXT(CFS!G10-IS!G30,"+#,##0;-#,##0"))</f>
        <v>✓</v>
      </c>
      <c r="H117" t="str">
        <f>IF(ABS(CFS!H10-IS!H30)&lt;1,"✓","✗ "&amp;TEXT(CFS!H10-IS!H30,"+#,##0;-#,##0"))</f>
        <v>✓</v>
      </c>
      <c r="I117" t="str">
        <f>IF(ABS(CFS!I10-IS!I30)&lt;1,"✓","✗ "&amp;TEXT(CFS!I10-IS!I30,"+#,##0;-#,##0"))</f>
        <v>✓</v>
      </c>
      <c r="J117" t="str">
        <f>IF(ABS(CFS!J10-IS!J30)&lt;1,"✓","✗ "&amp;TEXT(CFS!J10-IS!J30,"+#,##0;-#,##0"))</f>
        <v>✓</v>
      </c>
    </row>
  </sheetData>
  <mergeCells count="102">
    <mergeCell ref="A93:J93"/>
    <mergeCell ref="A94:J94"/>
    <mergeCell ref="A83:D83"/>
    <mergeCell ref="E83:J83"/>
    <mergeCell ref="A84:D84"/>
    <mergeCell ref="E84:J84"/>
    <mergeCell ref="A88:J88"/>
    <mergeCell ref="A89:J89"/>
    <mergeCell ref="A90:J90"/>
    <mergeCell ref="A91:J91"/>
    <mergeCell ref="A92:J92"/>
    <mergeCell ref="A78:D78"/>
    <mergeCell ref="E78:J78"/>
    <mergeCell ref="A79:D79"/>
    <mergeCell ref="E79:J79"/>
    <mergeCell ref="A80:D80"/>
    <mergeCell ref="E80:J80"/>
    <mergeCell ref="A81:D81"/>
    <mergeCell ref="E81:J81"/>
    <mergeCell ref="A82:D82"/>
    <mergeCell ref="E82:J82"/>
    <mergeCell ref="H66:J66"/>
    <mergeCell ref="H67:J67"/>
    <mergeCell ref="H68:J68"/>
    <mergeCell ref="H69:J69"/>
    <mergeCell ref="H70:J70"/>
    <mergeCell ref="H71:J71"/>
    <mergeCell ref="H72:J72"/>
    <mergeCell ref="H73:J73"/>
    <mergeCell ref="A76:J76"/>
    <mergeCell ref="A57:J57"/>
    <mergeCell ref="H58:J58"/>
    <mergeCell ref="H59:J59"/>
    <mergeCell ref="H60:J60"/>
    <mergeCell ref="H61:J61"/>
    <mergeCell ref="H62:J62"/>
    <mergeCell ref="H63:J63"/>
    <mergeCell ref="H64:J64"/>
    <mergeCell ref="H65:J6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26:J26"/>
    <mergeCell ref="H27:J27"/>
    <mergeCell ref="H28:J28"/>
    <mergeCell ref="H29:J29"/>
    <mergeCell ref="H30:J30"/>
    <mergeCell ref="H31:J31"/>
    <mergeCell ref="A34:J34"/>
    <mergeCell ref="H35:J35"/>
    <mergeCell ref="H36:J3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B11:D11"/>
    <mergeCell ref="F11:G11"/>
    <mergeCell ref="H11:J11"/>
    <mergeCell ref="B12:D12"/>
    <mergeCell ref="F12:G12"/>
    <mergeCell ref="H12:J12"/>
    <mergeCell ref="A14:J14"/>
    <mergeCell ref="H15:J15"/>
    <mergeCell ref="H16:J16"/>
    <mergeCell ref="B8:D8"/>
    <mergeCell ref="F8:G8"/>
    <mergeCell ref="H8:J8"/>
    <mergeCell ref="B9:D9"/>
    <mergeCell ref="F9:G9"/>
    <mergeCell ref="H9:J9"/>
    <mergeCell ref="B10:D10"/>
    <mergeCell ref="F10:G10"/>
    <mergeCell ref="H10:J10"/>
    <mergeCell ref="A1:J1"/>
    <mergeCell ref="A2:J2"/>
    <mergeCell ref="A5:J5"/>
    <mergeCell ref="B6:D6"/>
    <mergeCell ref="F6:G6"/>
    <mergeCell ref="H6:J6"/>
    <mergeCell ref="B7:D7"/>
    <mergeCell ref="F7:G7"/>
    <mergeCell ref="H7:J7"/>
  </mergeCells>
  <hyperlinks>
    <hyperlink ref="H6" r:id="rId1" xr:uid="{00000000-0004-0000-0400-000000000000}"/>
    <hyperlink ref="H7" r:id="rId2" xr:uid="{00000000-0004-0000-0400-000001000000}"/>
    <hyperlink ref="H8" r:id="rId3" xr:uid="{00000000-0004-0000-0400-000002000000}"/>
    <hyperlink ref="H9" r:id="rId4" xr:uid="{00000000-0004-0000-0400-000003000000}"/>
    <hyperlink ref="H10" r:id="rId5" xr:uid="{00000000-0004-0000-0400-000004000000}"/>
    <hyperlink ref="H11" r:id="rId6" xr:uid="{00000000-0004-0000-0400-000005000000}"/>
    <hyperlink ref="H12" r:id="rId7" xr:uid="{00000000-0004-0000-0400-000006000000}"/>
  </hyperlinks>
  <pageMargins left="0.25" right="0.25" top="0.4" bottom="0.4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6868B"/>
    <pageSetUpPr fitToPage="1"/>
  </sheetPr>
  <dimension ref="A1:Z89"/>
  <sheetViews>
    <sheetView showGridLines="0" zoomScaleNormal="100" workbookViewId="0">
      <selection activeCell="K32" sqref="K32"/>
    </sheetView>
  </sheetViews>
  <sheetFormatPr defaultColWidth="8.6328125" defaultRowHeight="14.5"/>
  <cols>
    <col min="1" max="1" width="2" customWidth="1"/>
    <col min="2" max="3" width="10" customWidth="1"/>
    <col min="4" max="4" width="8" customWidth="1"/>
    <col min="5" max="5" width="5" customWidth="1"/>
    <col min="6" max="13" width="11" customWidth="1"/>
    <col min="14" max="14" width="9.1796875" bestFit="1" customWidth="1"/>
    <col min="15" max="26" width="7" customWidth="1"/>
  </cols>
  <sheetData>
    <row r="1" spans="1:26" ht="6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31.5" customHeight="1">
      <c r="A2" s="47"/>
      <c r="B2" s="355" t="s">
        <v>25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47"/>
    </row>
    <row r="3" spans="1:26" ht="18" customHeight="1">
      <c r="A3" s="47"/>
      <c r="B3" s="356" t="s">
        <v>710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47"/>
    </row>
    <row r="4" spans="1:26" ht="6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customHeight="1">
      <c r="A6" s="6"/>
      <c r="B6" s="357" t="s">
        <v>26</v>
      </c>
      <c r="C6" s="357"/>
      <c r="D6" s="357"/>
      <c r="E6" s="357"/>
      <c r="F6" s="6"/>
      <c r="G6" s="357" t="s">
        <v>27</v>
      </c>
      <c r="H6" s="357"/>
      <c r="I6" s="357"/>
      <c r="J6" s="357"/>
      <c r="K6" s="35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5" customHeight="1">
      <c r="A7" s="6"/>
      <c r="B7" s="358" t="s">
        <v>28</v>
      </c>
      <c r="C7" s="358"/>
      <c r="D7" s="358"/>
      <c r="E7" s="358"/>
      <c r="F7" s="6"/>
      <c r="G7" s="359" t="str">
        <f>IF($B$7="All","9 of 9 (FY21–FY29)",IF($B$7="Actual","5 of 9 (FY21A–FY25A)","4 of 9 (FY26E–FY29E)"))</f>
        <v>9 of 9 (FY21–FY29)</v>
      </c>
      <c r="H7" s="359"/>
      <c r="I7" s="359"/>
      <c r="J7" s="359"/>
      <c r="K7" s="35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>
      <c r="A8" s="6"/>
      <c r="B8" s="360" t="s">
        <v>29</v>
      </c>
      <c r="C8" s="360"/>
      <c r="D8" s="360"/>
      <c r="E8" s="360"/>
      <c r="F8" s="360"/>
      <c r="G8" s="360"/>
      <c r="H8" s="360"/>
      <c r="I8" s="360"/>
      <c r="J8" s="360"/>
      <c r="K8" s="36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7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customHeight="1">
      <c r="A11" s="6"/>
      <c r="B11" s="361" t="s">
        <v>30</v>
      </c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</row>
    <row r="12" spans="1:26" ht="21.75" customHeight="1">
      <c r="A12" s="6"/>
      <c r="B12" s="362" t="s">
        <v>31</v>
      </c>
      <c r="C12" s="362"/>
      <c r="D12" s="362"/>
      <c r="E12" s="362"/>
      <c r="F12" s="154" t="s">
        <v>32</v>
      </c>
      <c r="G12" s="154" t="s">
        <v>33</v>
      </c>
      <c r="H12" s="154" t="s">
        <v>34</v>
      </c>
      <c r="I12" s="154" t="s">
        <v>35</v>
      </c>
      <c r="J12" s="154" t="s">
        <v>36</v>
      </c>
      <c r="K12" s="155" t="s">
        <v>37</v>
      </c>
      <c r="L12" s="155" t="s">
        <v>38</v>
      </c>
      <c r="M12" s="155" t="s">
        <v>39</v>
      </c>
      <c r="N12" s="155" t="s">
        <v>674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1.75" customHeight="1">
      <c r="A13" s="6"/>
      <c r="B13" s="363" t="s">
        <v>40</v>
      </c>
      <c r="C13" s="363"/>
      <c r="D13" s="363"/>
      <c r="E13" s="363"/>
      <c r="F13" s="156">
        <f>IF(OR($B$7="All",$B$7="Actual"),IS!B8,NA())</f>
        <v>297392</v>
      </c>
      <c r="G13" s="156">
        <f>IF(OR($B$7="All",$B$7="Actual"),IS!C8,NA())</f>
        <v>316199</v>
      </c>
      <c r="H13" s="156">
        <f>IF(OR($B$7="All",$B$7="Actual"),IS!D8,NA())</f>
        <v>298085</v>
      </c>
      <c r="I13" s="156">
        <f>IF(OR($B$7="All",$B$7="Actual"),IS!E8,NA())</f>
        <v>294866</v>
      </c>
      <c r="J13" s="156">
        <f>IF(OR($B$7="All",$B$7="Actual"),IS!F8,NA())</f>
        <v>307003</v>
      </c>
      <c r="K13" s="156">
        <f>IF(OR($B$7="All",$B$7="Estimate"),IS!G8,NA())</f>
        <v>325817.11</v>
      </c>
      <c r="L13" s="156">
        <f>IF(OR($B$7="All",$B$7="Estimate"),IS!H8,NA())</f>
        <v>345799.98790000001</v>
      </c>
      <c r="M13" s="156">
        <f>IF(OR($B$7="All",$B$7="Estimate"),IS!I8,NA())</f>
        <v>367025.37382300006</v>
      </c>
      <c r="N13" s="249">
        <f>IF(OR($B$7="All",$B$7="Estimate"),IS!J8,NA())</f>
        <v>389571.74244055006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1.75" customHeight="1">
      <c r="A14" s="6"/>
      <c r="B14" s="364" t="s">
        <v>41</v>
      </c>
      <c r="C14" s="364"/>
      <c r="D14" s="364"/>
      <c r="E14" s="364"/>
      <c r="F14" s="157">
        <f>IF(OR($B$7="All",$B$7="Actual"),IS!B13,NA())</f>
        <v>68425</v>
      </c>
      <c r="G14" s="157">
        <f>IF(OR($B$7="All",$B$7="Actual"),IS!C13,NA())</f>
        <v>78129</v>
      </c>
      <c r="H14" s="157">
        <f>IF(OR($B$7="All",$B$7="Actual"),IS!D13,NA())</f>
        <v>85200</v>
      </c>
      <c r="I14" s="157">
        <f>IF(OR($B$7="All",$B$7="Actual"),IS!E13,NA())</f>
        <v>96169</v>
      </c>
      <c r="J14" s="157">
        <f>IF(OR($B$7="All",$B$7="Actual"),IS!F13,NA())</f>
        <v>109158</v>
      </c>
      <c r="K14" s="157">
        <f>IF(OR($B$7="All",$B$7="Estimate"),IS!G13,NA())</f>
        <v>124440.12000000001</v>
      </c>
      <c r="L14" s="157">
        <f>IF(OR($B$7="All",$B$7="Estimate"),IS!H13,NA())</f>
        <v>141861.73680000001</v>
      </c>
      <c r="M14" s="157">
        <f>IF(OR($B$7="All",$B$7="Estimate"),IS!I13,NA())</f>
        <v>161722.37995200005</v>
      </c>
      <c r="N14" s="157">
        <f>IF(OR($B$7="All",$B$7="Estimate"),IS!J13,NA())</f>
        <v>184363.51314528007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1.75" customHeight="1">
      <c r="A15" s="6"/>
      <c r="B15" s="365" t="s">
        <v>42</v>
      </c>
      <c r="C15" s="365"/>
      <c r="D15" s="365"/>
      <c r="E15" s="365"/>
      <c r="F15" s="158">
        <f>IF(OR($B$7="All",$B$7="Actual"),IS!B14,NA())</f>
        <v>365817</v>
      </c>
      <c r="G15" s="158">
        <f>IF(OR($B$7="All",$B$7="Actual"),IS!C14,NA())</f>
        <v>394328</v>
      </c>
      <c r="H15" s="158">
        <f>IF(OR($B$7="All",$B$7="Actual"),IS!D14,NA())</f>
        <v>383285</v>
      </c>
      <c r="I15" s="158">
        <f>IF(OR($B$7="All",$B$7="Actual"),IS!E14,NA())</f>
        <v>391035</v>
      </c>
      <c r="J15" s="158">
        <f>IF(OR($B$7="All",$B$7="Actual"),IS!F14,NA())</f>
        <v>416161</v>
      </c>
      <c r="K15" s="158">
        <f>IF(OR($B$7="All",$B$7="Estimate"),IS!G14,NA())</f>
        <v>450257.23</v>
      </c>
      <c r="L15" s="158">
        <f>IF(OR($B$7="All",$B$7="Estimate"),IS!H14,NA())</f>
        <v>487661.72470000002</v>
      </c>
      <c r="M15" s="158">
        <f>IF(OR($B$7="All",$B$7="Estimate"),IS!I14,NA())</f>
        <v>528747.75377500011</v>
      </c>
      <c r="N15" s="158">
        <f>IF(OR($B$7="All",$B$7="Estimate"),IS!J14,NA())</f>
        <v>573935.25558583019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" customHeight="1">
      <c r="A17" s="6"/>
      <c r="B17" s="361" t="s">
        <v>43</v>
      </c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</row>
    <row r="18" spans="1:26" ht="21.75" customHeight="1">
      <c r="A18" s="6"/>
      <c r="B18" s="362" t="s">
        <v>31</v>
      </c>
      <c r="C18" s="362"/>
      <c r="D18" s="362"/>
      <c r="E18" s="362"/>
      <c r="F18" s="154" t="s">
        <v>32</v>
      </c>
      <c r="G18" s="154" t="s">
        <v>33</v>
      </c>
      <c r="H18" s="154" t="s">
        <v>34</v>
      </c>
      <c r="I18" s="154" t="s">
        <v>35</v>
      </c>
      <c r="J18" s="154" t="s">
        <v>36</v>
      </c>
      <c r="K18" s="155" t="s">
        <v>37</v>
      </c>
      <c r="L18" s="155" t="s">
        <v>38</v>
      </c>
      <c r="M18" s="155" t="s">
        <v>39</v>
      </c>
      <c r="N18" s="155" t="s">
        <v>674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1.75" customHeight="1">
      <c r="A19" s="6"/>
      <c r="B19" s="363" t="s">
        <v>18</v>
      </c>
      <c r="C19" s="363"/>
      <c r="D19" s="363"/>
      <c r="E19" s="363"/>
      <c r="F19" s="159">
        <f>IF(OR($B$7="All",$B$7="Actual"),Ratios!B7,NA())</f>
        <v>0.41779359625167778</v>
      </c>
      <c r="G19" s="159">
        <f>IF(OR($B$7="All",$B$7="Actual"),Ratios!C7,NA())</f>
        <v>0.43309630561360085</v>
      </c>
      <c r="H19" s="159">
        <f>IF(OR($B$7="All",$B$7="Actual"),Ratios!D7,NA())</f>
        <v>0.44131129577207562</v>
      </c>
      <c r="I19" s="159">
        <f>IF(OR($B$7="All",$B$7="Actual"),Ratios!E7,NA())</f>
        <v>0.46206349815233932</v>
      </c>
      <c r="J19" s="159">
        <f>IF(OR($B$7="All",$B$7="Actual"),Ratios!F7,NA())</f>
        <v>0.46905164107160452</v>
      </c>
      <c r="K19" s="159">
        <f>IF(OR($B$7="All",$B$7="Estimate"),Ratios!G7,NA())</f>
        <v>0.50864085658324687</v>
      </c>
      <c r="L19" s="159">
        <f>IF(OR($B$7="All",$B$7="Estimate"),Ratios!H7,NA())</f>
        <v>0.5140882236712887</v>
      </c>
      <c r="M19" s="159">
        <f>IF(OR($B$7="All",$B$7="Estimate"),Ratios!I7,NA())</f>
        <v>0.51969721062457108</v>
      </c>
      <c r="N19" s="250">
        <f>IF(OR($B$7="All",$B$7="Estimate"),Ratios!J7,NA())</f>
        <v>0.52546013336279696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1.75" customHeight="1">
      <c r="A20" s="6"/>
      <c r="B20" s="364" t="s">
        <v>19</v>
      </c>
      <c r="C20" s="364"/>
      <c r="D20" s="364"/>
      <c r="E20" s="364"/>
      <c r="F20" s="160">
        <f>IF(OR($B$7="All",$B$7="Actual"),Ratios!B8,NA())</f>
        <v>0.29782377527561593</v>
      </c>
      <c r="G20" s="160">
        <f>IF(OR($B$7="All",$B$7="Actual"),Ratios!C8,NA())</f>
        <v>0.30288744395528594</v>
      </c>
      <c r="H20" s="160">
        <f>IF(OR($B$7="All",$B$7="Actual"),Ratios!D8,NA())</f>
        <v>0.29821412265024722</v>
      </c>
      <c r="I20" s="160">
        <f>IF(OR($B$7="All",$B$7="Actual"),Ratios!E8,NA())</f>
        <v>0.31510222870075566</v>
      </c>
      <c r="J20" s="160">
        <f>IF(OR($B$7="All",$B$7="Actual"),Ratios!F8,NA())</f>
        <v>0.31970799762591884</v>
      </c>
      <c r="K20" s="160">
        <f>IF(OR($B$7="All",$B$7="Estimate"),Ratios!G8,NA())</f>
        <v>0.36493071560450013</v>
      </c>
      <c r="L20" s="160">
        <f>IF(OR($B$7="All",$B$7="Estimate"),Ratios!H8,NA())</f>
        <v>0.37593246428408905</v>
      </c>
      <c r="M20" s="160">
        <f>IF(OR($B$7="All",$B$7="Estimate"),Ratios!I8,NA())</f>
        <v>0.38701333409532179</v>
      </c>
      <c r="N20" s="160">
        <f>IF(OR($B$7="All",$B$7="Estimate"),Ratios!J8,NA())</f>
        <v>0.39816196010850741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1.75" customHeight="1">
      <c r="A21" s="6"/>
      <c r="B21" s="363" t="s">
        <v>20</v>
      </c>
      <c r="C21" s="363"/>
      <c r="D21" s="363"/>
      <c r="E21" s="363"/>
      <c r="F21" s="159">
        <f>IF(OR($B$7="All",$B$7="Actual"),Ratios!B9,NA())</f>
        <v>0.25881793355694238</v>
      </c>
      <c r="G21" s="159">
        <f>IF(OR($B$7="All",$B$7="Actual"),Ratios!C9,NA())</f>
        <v>0.25309640705199732</v>
      </c>
      <c r="H21" s="159">
        <f>IF(OR($B$7="All",$B$7="Actual"),Ratios!D9,NA())</f>
        <v>0.25306234264320282</v>
      </c>
      <c r="I21" s="159">
        <f>IF(OR($B$7="All",$B$7="Actual"),Ratios!E9,NA())</f>
        <v>0.23971255769943867</v>
      </c>
      <c r="J21" s="159">
        <f>IF(OR($B$7="All",$B$7="Actual"),Ratios!F9,NA())</f>
        <v>0.26915064121818238</v>
      </c>
      <c r="K21" s="159">
        <f>IF(OR($B$7="All",$B$7="Estimate"),Ratios!G9,NA())</f>
        <v>0.31845583699011343</v>
      </c>
      <c r="L21" s="159">
        <f>IF(OR($B$7="All",$B$7="Estimate"),Ratios!H9,NA())</f>
        <v>0.32795325570082623</v>
      </c>
      <c r="M21" s="159">
        <f>IF(OR($B$7="All",$B$7="Estimate"),Ratios!I9,NA())</f>
        <v>0.33752429919336213</v>
      </c>
      <c r="N21" s="250">
        <f>IF(OR($B$7="All",$B$7="Estimate"),Ratios!J9,NA())</f>
        <v>0.34715883050594115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4" customHeight="1">
      <c r="A23" s="6"/>
      <c r="B23" s="361" t="s">
        <v>44</v>
      </c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  <c r="X23" s="361"/>
      <c r="Y23" s="361"/>
      <c r="Z23" s="361"/>
    </row>
    <row r="24" spans="1:26" ht="21.75" customHeight="1">
      <c r="A24" s="6"/>
      <c r="B24" s="362" t="s">
        <v>31</v>
      </c>
      <c r="C24" s="362"/>
      <c r="D24" s="362"/>
      <c r="E24" s="362"/>
      <c r="F24" s="154" t="s">
        <v>32</v>
      </c>
      <c r="G24" s="154" t="s">
        <v>33</v>
      </c>
      <c r="H24" s="154" t="s">
        <v>34</v>
      </c>
      <c r="I24" s="154" t="s">
        <v>35</v>
      </c>
      <c r="J24" s="154" t="s">
        <v>36</v>
      </c>
      <c r="K24" s="155" t="s">
        <v>37</v>
      </c>
      <c r="L24" s="155" t="s">
        <v>38</v>
      </c>
      <c r="M24" s="155" t="s">
        <v>39</v>
      </c>
      <c r="N24" s="155" t="s">
        <v>674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1.75" customHeight="1">
      <c r="A25" s="6"/>
      <c r="B25" s="363" t="s">
        <v>45</v>
      </c>
      <c r="C25" s="363"/>
      <c r="D25" s="363"/>
      <c r="E25" s="363"/>
      <c r="F25" s="156">
        <f>IF(OR($B$7="All",$B$7="Actual"),CFS!B14,NA())</f>
        <v>104038</v>
      </c>
      <c r="G25" s="156">
        <f>IF(OR($B$7="All",$B$7="Actual"),CFS!C14,NA())</f>
        <v>122151</v>
      </c>
      <c r="H25" s="156">
        <f>IF(OR($B$7="All",$B$7="Actual"),CFS!D14,NA())</f>
        <v>110543</v>
      </c>
      <c r="I25" s="156">
        <f>IF(OR($B$7="All",$B$7="Actual"),CFS!E14,NA())</f>
        <v>118254</v>
      </c>
      <c r="J25" s="156">
        <f>IF(OR($B$7="All",$B$7="Actual"),CFS!F14,NA())</f>
        <v>111482</v>
      </c>
      <c r="K25" s="156">
        <f>IF(OR($B$7="All",$B$7="Estimate"),CFS!G14,NA())</f>
        <v>153998.44792049998</v>
      </c>
      <c r="L25" s="156">
        <f>IF(OR($B$7="All",$B$7="Estimate"),CFS!H14,NA())</f>
        <v>168510.60104257721</v>
      </c>
      <c r="M25" s="156">
        <f>IF(OR($B$7="All",$B$7="Estimate"),CFS!I14,NA())</f>
        <v>207618.78128128147</v>
      </c>
      <c r="N25" s="249">
        <f>IF(OR($B$7="All",$B$7="Estimate"),CFS!J14,NA())</f>
        <v>239929.47004511041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1.75" customHeight="1">
      <c r="A26" s="6"/>
      <c r="B26" s="364" t="s">
        <v>46</v>
      </c>
      <c r="C26" s="364"/>
      <c r="D26" s="364"/>
      <c r="E26" s="364"/>
      <c r="F26" s="157">
        <f>IF(OR($B$7="All",$B$7="Actual"),CFS!B19,NA())</f>
        <v>-11085</v>
      </c>
      <c r="G26" s="157">
        <f>IF(OR($B$7="All",$B$7="Actual"),CFS!C19,NA())</f>
        <v>-10708</v>
      </c>
      <c r="H26" s="157">
        <f>IF(OR($B$7="All",$B$7="Actual"),CFS!D19,NA())</f>
        <v>-10959</v>
      </c>
      <c r="I26" s="157">
        <f>IF(OR($B$7="All",$B$7="Actual"),CFS!E19,NA())</f>
        <v>-9447</v>
      </c>
      <c r="J26" s="157">
        <f>IF(OR($B$7="All",$B$7="Actual"),CFS!F19,NA())</f>
        <v>-12715</v>
      </c>
      <c r="K26" s="157">
        <f>IF(OR($B$7="All",$B$7="Estimate"),CFS!G19,NA())</f>
        <v>-9905.6590599999981</v>
      </c>
      <c r="L26" s="157">
        <f>IF(OR($B$7="All",$B$7="Estimate"),CFS!H19,NA())</f>
        <v>-10728.557943399999</v>
      </c>
      <c r="M26" s="157">
        <f>IF(OR($B$7="All",$B$7="Estimate"),CFS!I19,NA())</f>
        <v>-11632.450583050002</v>
      </c>
      <c r="N26" s="157">
        <f>IF(OR($B$7="All",$B$7="Estimate"),CFS!J19,NA())</f>
        <v>-12626.575622888264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1.75" customHeight="1">
      <c r="A27" s="6"/>
      <c r="B27" s="365" t="s">
        <v>47</v>
      </c>
      <c r="C27" s="365"/>
      <c r="D27" s="365"/>
      <c r="E27" s="365"/>
      <c r="F27" s="158">
        <f>IF(OR($B$7="All",$B$7="Actual"),CFS!B21,NA())</f>
        <v>92953</v>
      </c>
      <c r="G27" s="158">
        <f>IF(OR($B$7="All",$B$7="Actual"),CFS!C21,NA())</f>
        <v>111443</v>
      </c>
      <c r="H27" s="158">
        <f>IF(OR($B$7="All",$B$7="Actual"),CFS!D21,NA())</f>
        <v>99584</v>
      </c>
      <c r="I27" s="158">
        <f>IF(OR($B$7="All",$B$7="Actual"),CFS!E21,NA())</f>
        <v>108807</v>
      </c>
      <c r="J27" s="158">
        <f>IF(OR($B$7="All",$B$7="Actual"),CFS!F21,NA())</f>
        <v>98767</v>
      </c>
      <c r="K27" s="158">
        <f>IF(OR($B$7="All",$B$7="Estimate"),CFS!G21,NA())</f>
        <v>144092.78886049998</v>
      </c>
      <c r="L27" s="158">
        <f>IF(OR($B$7="All",$B$7="Estimate"),CFS!H21,NA())</f>
        <v>157782.04309917722</v>
      </c>
      <c r="M27" s="158">
        <f>IF(OR($B$7="All",$B$7="Estimate"),CFS!I21,NA())</f>
        <v>195986.33069823147</v>
      </c>
      <c r="N27" s="158">
        <f>IF(OR($B$7="All",$B$7="Estimate"),CFS!J21,NA())</f>
        <v>227302.89442222216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4" customHeight="1">
      <c r="A29" s="6"/>
      <c r="B29" s="361" t="s">
        <v>48</v>
      </c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</row>
    <row r="30" spans="1:26" ht="21.75" customHeight="1">
      <c r="A30" s="6"/>
      <c r="B30" s="362" t="s">
        <v>31</v>
      </c>
      <c r="C30" s="362"/>
      <c r="D30" s="362"/>
      <c r="E30" s="362"/>
      <c r="F30" s="154" t="s">
        <v>32</v>
      </c>
      <c r="G30" s="154" t="s">
        <v>33</v>
      </c>
      <c r="H30" s="154" t="s">
        <v>34</v>
      </c>
      <c r="I30" s="154" t="s">
        <v>35</v>
      </c>
      <c r="J30" s="154" t="s">
        <v>36</v>
      </c>
      <c r="K30" s="155" t="s">
        <v>37</v>
      </c>
      <c r="L30" s="155" t="s">
        <v>38</v>
      </c>
      <c r="M30" s="155" t="s">
        <v>39</v>
      </c>
      <c r="N30" s="155" t="s">
        <v>674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1.75" customHeight="1">
      <c r="A31" s="6"/>
      <c r="B31" s="363" t="s">
        <v>49</v>
      </c>
      <c r="C31" s="363"/>
      <c r="D31" s="363"/>
      <c r="E31" s="363"/>
      <c r="F31" s="156">
        <f>IF(OR($B$7="All",$B$7="Actual"),CFS!B24,NA())</f>
        <v>-14467</v>
      </c>
      <c r="G31" s="156">
        <f>IF(OR($B$7="All",$B$7="Actual"),CFS!C24,NA())</f>
        <v>-14841</v>
      </c>
      <c r="H31" s="156">
        <f>IF(OR($B$7="All",$B$7="Actual"),CFS!D24,NA())</f>
        <v>-15025</v>
      </c>
      <c r="I31" s="156">
        <f>IF(OR($B$7="All",$B$7="Actual"),CFS!E24,NA())</f>
        <v>-15234</v>
      </c>
      <c r="J31" s="156">
        <f>IF(OR($B$7="All",$B$7="Actual"),CFS!F24,NA())</f>
        <v>-15421</v>
      </c>
      <c r="K31" s="156">
        <f>IF(OR($B$7="All",$B$7="Estimate"),CFS!G24,NA())</f>
        <v>-18155.691396422997</v>
      </c>
      <c r="L31" s="156">
        <f>IF(OR($B$7="All",$B$7="Estimate"),CFS!H24,NA())</f>
        <v>-19880.53743049633</v>
      </c>
      <c r="M31" s="156">
        <f>IF(OR($B$7="All",$B$7="Estimate"),CFS!I24,NA())</f>
        <v>-24694.277667977167</v>
      </c>
      <c r="N31" s="156">
        <f>IF(OR($B$7="All",$B$7="Estimate"),CFS!J24,NA())</f>
        <v>-28640.164697199991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1.75" customHeight="1">
      <c r="A32" s="6"/>
      <c r="B32" s="364" t="s">
        <v>50</v>
      </c>
      <c r="C32" s="364"/>
      <c r="D32" s="364"/>
      <c r="E32" s="364"/>
      <c r="F32" s="157">
        <f>IF(OR($B$7="All",$B$7="Actual"),CFS!B25,NA())</f>
        <v>-85971</v>
      </c>
      <c r="G32" s="157">
        <f>IF(OR($B$7="All",$B$7="Actual"),CFS!C25,NA())</f>
        <v>-89402</v>
      </c>
      <c r="H32" s="157">
        <f>IF(OR($B$7="All",$B$7="Actual"),CFS!D25,NA())</f>
        <v>-77550</v>
      </c>
      <c r="I32" s="157">
        <f>IF(OR($B$7="All",$B$7="Actual"),CFS!E25,NA())</f>
        <v>-94949</v>
      </c>
      <c r="J32" s="157">
        <f>IF(OR($B$7="All",$B$7="Actual"),CFS!F25,NA())</f>
        <v>-90711</v>
      </c>
      <c r="K32" s="157">
        <f>IF(OR($B$7="All",$B$7="Estimate"),CFS!G25,NA())</f>
        <v>-133141.73690710199</v>
      </c>
      <c r="L32" s="157">
        <f>IF(OR($B$7="All",$B$7="Estimate"),CFS!H25,NA())</f>
        <v>-145790.60782363976</v>
      </c>
      <c r="M32" s="157">
        <f>IF(OR($B$7="All",$B$7="Estimate"),CFS!I25,NA())</f>
        <v>-181091.36956516589</v>
      </c>
      <c r="N32" s="157">
        <f>IF(OR($B$7="All",$B$7="Estimate"),CFS!J25,NA())</f>
        <v>-210027.8744461333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1.75" customHeight="1">
      <c r="A36" s="47"/>
      <c r="B36" s="366" t="s">
        <v>711</v>
      </c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6"/>
      <c r="R36" s="366"/>
      <c r="S36" s="366"/>
      <c r="T36" s="366"/>
      <c r="U36" s="366"/>
      <c r="V36" s="366"/>
      <c r="W36" s="366"/>
      <c r="X36" s="366"/>
      <c r="Y36" s="366"/>
      <c r="Z36" s="47"/>
    </row>
    <row r="37" spans="1:26" ht="1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</sheetData>
  <mergeCells count="27">
    <mergeCell ref="B36:Y36"/>
    <mergeCell ref="B27:E27"/>
    <mergeCell ref="B29:Z29"/>
    <mergeCell ref="B30:E30"/>
    <mergeCell ref="B31:E31"/>
    <mergeCell ref="B32:E32"/>
    <mergeCell ref="B21:E21"/>
    <mergeCell ref="B23:Z23"/>
    <mergeCell ref="B24:E24"/>
    <mergeCell ref="B25:E25"/>
    <mergeCell ref="B26:E26"/>
    <mergeCell ref="B15:E15"/>
    <mergeCell ref="B17:Z17"/>
    <mergeCell ref="B18:E18"/>
    <mergeCell ref="B19:E19"/>
    <mergeCell ref="B20:E20"/>
    <mergeCell ref="B8:K8"/>
    <mergeCell ref="B11:Z11"/>
    <mergeCell ref="B12:E12"/>
    <mergeCell ref="B13:E13"/>
    <mergeCell ref="B14:E14"/>
    <mergeCell ref="B2:Y2"/>
    <mergeCell ref="B3:Y3"/>
    <mergeCell ref="B6:E6"/>
    <mergeCell ref="G6:K6"/>
    <mergeCell ref="B7:E7"/>
    <mergeCell ref="G7:K7"/>
  </mergeCells>
  <dataValidations count="1">
    <dataValidation type="list" sqref="B7" xr:uid="{00000000-0002-0000-0100-000000000000}">
      <formula1>"All,Actual,Estimate"</formula1>
      <formula2>0</formula2>
    </dataValidation>
  </dataValidations>
  <pageMargins left="0.2" right="0.2" top="0.2" bottom="0.2" header="0.511811023622047" footer="0.511811023622047"/>
  <pageSetup paperSize="8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6868B"/>
  </sheetPr>
  <dimension ref="A1:E46"/>
  <sheetViews>
    <sheetView showGridLines="0" tabSelected="1" zoomScaleNormal="100" workbookViewId="0">
      <selection sqref="A1:E1"/>
    </sheetView>
  </sheetViews>
  <sheetFormatPr defaultColWidth="8.6328125" defaultRowHeight="14.5"/>
  <cols>
    <col min="1" max="2" width="24" customWidth="1"/>
    <col min="3" max="3" width="20" customWidth="1"/>
    <col min="4" max="4" width="50" customWidth="1"/>
  </cols>
  <sheetData>
    <row r="1" spans="1:5" ht="31.5" customHeight="1">
      <c r="A1" s="318" t="s">
        <v>418</v>
      </c>
      <c r="B1" s="318"/>
      <c r="C1" s="318"/>
      <c r="D1" s="318"/>
      <c r="E1" s="318"/>
    </row>
    <row r="2" spans="1:5" ht="19.5" customHeight="1">
      <c r="A2" s="319" t="s">
        <v>419</v>
      </c>
      <c r="B2" s="319"/>
      <c r="C2" s="319"/>
      <c r="D2" s="319"/>
      <c r="E2" s="319"/>
    </row>
    <row r="4" spans="1:5" ht="24" customHeight="1">
      <c r="A4" s="153" t="s">
        <v>420</v>
      </c>
      <c r="B4" s="153" t="s">
        <v>421</v>
      </c>
      <c r="C4" s="153" t="s">
        <v>51</v>
      </c>
      <c r="D4" s="153" t="s">
        <v>422</v>
      </c>
    </row>
    <row r="5" spans="1:5" ht="15.75" customHeight="1">
      <c r="A5" s="161" t="s">
        <v>423</v>
      </c>
      <c r="B5" s="162" t="s">
        <v>424</v>
      </c>
      <c r="C5" s="40" t="s">
        <v>425</v>
      </c>
      <c r="D5" s="41" t="s">
        <v>426</v>
      </c>
    </row>
    <row r="6" spans="1:5" ht="15.75" customHeight="1">
      <c r="A6" s="163" t="s">
        <v>427</v>
      </c>
      <c r="B6" s="164" t="s">
        <v>428</v>
      </c>
      <c r="C6" s="42" t="s">
        <v>425</v>
      </c>
      <c r="D6" s="43" t="s">
        <v>429</v>
      </c>
    </row>
    <row r="7" spans="1:5" ht="15.75" customHeight="1">
      <c r="A7" s="161" t="s">
        <v>430</v>
      </c>
      <c r="B7" s="162" t="s">
        <v>431</v>
      </c>
      <c r="C7" s="40" t="s">
        <v>425</v>
      </c>
      <c r="D7" s="41" t="s">
        <v>429</v>
      </c>
    </row>
    <row r="8" spans="1:5" ht="15.75" customHeight="1">
      <c r="A8" s="163" t="s">
        <v>432</v>
      </c>
      <c r="B8" s="164" t="s">
        <v>433</v>
      </c>
      <c r="C8" s="42" t="s">
        <v>425</v>
      </c>
      <c r="D8" s="43" t="s">
        <v>434</v>
      </c>
    </row>
    <row r="9" spans="1:5" ht="15.75" customHeight="1">
      <c r="A9" s="161" t="s">
        <v>435</v>
      </c>
      <c r="B9" s="162" t="s">
        <v>436</v>
      </c>
      <c r="C9" s="40" t="s">
        <v>425</v>
      </c>
      <c r="D9" s="41" t="s">
        <v>437</v>
      </c>
    </row>
    <row r="10" spans="1:5" ht="15.75" customHeight="1">
      <c r="A10" s="163" t="s">
        <v>438</v>
      </c>
      <c r="B10" s="164" t="s">
        <v>439</v>
      </c>
      <c r="C10" s="42" t="s">
        <v>425</v>
      </c>
      <c r="D10" s="43" t="s">
        <v>440</v>
      </c>
    </row>
    <row r="11" spans="1:5" ht="15.75" customHeight="1">
      <c r="A11" s="161" t="s">
        <v>441</v>
      </c>
      <c r="B11" s="162" t="s">
        <v>442</v>
      </c>
      <c r="C11" s="40" t="s">
        <v>425</v>
      </c>
      <c r="D11" s="41" t="s">
        <v>443</v>
      </c>
    </row>
    <row r="12" spans="1:5" ht="15.75" customHeight="1">
      <c r="A12" s="163" t="s">
        <v>444</v>
      </c>
      <c r="B12" s="164" t="s">
        <v>445</v>
      </c>
      <c r="C12" s="42" t="s">
        <v>425</v>
      </c>
      <c r="D12" s="43" t="s">
        <v>446</v>
      </c>
    </row>
    <row r="13" spans="1:5" ht="15.75" customHeight="1">
      <c r="A13" s="161" t="s">
        <v>447</v>
      </c>
      <c r="B13" s="162" t="s">
        <v>448</v>
      </c>
      <c r="C13" s="40" t="s">
        <v>425</v>
      </c>
      <c r="D13" s="41" t="s">
        <v>449</v>
      </c>
    </row>
    <row r="14" spans="1:5" ht="15.75" customHeight="1">
      <c r="A14" s="163" t="s">
        <v>450</v>
      </c>
      <c r="B14" s="164" t="s">
        <v>451</v>
      </c>
      <c r="C14" s="42" t="s">
        <v>425</v>
      </c>
      <c r="D14" s="43" t="s">
        <v>429</v>
      </c>
    </row>
    <row r="15" spans="1:5" ht="15.75" customHeight="1">
      <c r="A15" s="161" t="s">
        <v>452</v>
      </c>
      <c r="B15" s="162" t="s">
        <v>453</v>
      </c>
      <c r="C15" s="40" t="s">
        <v>425</v>
      </c>
      <c r="D15" s="41" t="s">
        <v>454</v>
      </c>
    </row>
    <row r="16" spans="1:5" ht="15.75" customHeight="1">
      <c r="A16" s="163" t="s">
        <v>455</v>
      </c>
      <c r="B16" s="164" t="s">
        <v>456</v>
      </c>
      <c r="C16" s="42" t="s">
        <v>425</v>
      </c>
      <c r="D16" s="43" t="s">
        <v>457</v>
      </c>
    </row>
    <row r="17" spans="1:4" ht="15.75" customHeight="1">
      <c r="A17" s="161" t="s">
        <v>458</v>
      </c>
      <c r="B17" s="162" t="s">
        <v>459</v>
      </c>
      <c r="C17" s="40" t="s">
        <v>425</v>
      </c>
      <c r="D17" s="41" t="s">
        <v>457</v>
      </c>
    </row>
    <row r="18" spans="1:4" ht="15.75" customHeight="1">
      <c r="A18" s="163" t="s">
        <v>460</v>
      </c>
      <c r="B18" s="164" t="s">
        <v>461</v>
      </c>
      <c r="C18" s="42" t="s">
        <v>90</v>
      </c>
      <c r="D18" s="43" t="s">
        <v>462</v>
      </c>
    </row>
    <row r="19" spans="1:4" ht="15.75" customHeight="1">
      <c r="A19" s="161" t="s">
        <v>463</v>
      </c>
      <c r="B19" s="162" t="s">
        <v>464</v>
      </c>
      <c r="C19" s="40" t="s">
        <v>90</v>
      </c>
      <c r="D19" s="41" t="s">
        <v>429</v>
      </c>
    </row>
    <row r="20" spans="1:4" ht="15.75" customHeight="1">
      <c r="A20" s="163" t="s">
        <v>465</v>
      </c>
      <c r="B20" s="164" t="s">
        <v>466</v>
      </c>
      <c r="C20" s="42" t="s">
        <v>90</v>
      </c>
      <c r="D20" s="43" t="s">
        <v>467</v>
      </c>
    </row>
    <row r="21" spans="1:4" ht="15.75" customHeight="1">
      <c r="A21" s="161" t="s">
        <v>468</v>
      </c>
      <c r="B21" s="162" t="s">
        <v>469</v>
      </c>
      <c r="C21" s="40" t="s">
        <v>107</v>
      </c>
      <c r="D21" s="41" t="s">
        <v>470</v>
      </c>
    </row>
    <row r="22" spans="1:4" ht="15.75" customHeight="1">
      <c r="A22" s="163" t="s">
        <v>471</v>
      </c>
      <c r="B22" s="164" t="s">
        <v>472</v>
      </c>
      <c r="C22" s="42" t="s">
        <v>107</v>
      </c>
      <c r="D22" s="43" t="s">
        <v>473</v>
      </c>
    </row>
    <row r="23" spans="1:4" ht="15.75" customHeight="1">
      <c r="A23" s="161" t="s">
        <v>474</v>
      </c>
      <c r="B23" s="162" t="s">
        <v>475</v>
      </c>
      <c r="C23" s="40" t="s">
        <v>107</v>
      </c>
      <c r="D23" s="41" t="s">
        <v>476</v>
      </c>
    </row>
    <row r="24" spans="1:4" ht="15.75" customHeight="1">
      <c r="A24" s="163" t="s">
        <v>477</v>
      </c>
      <c r="B24" s="164" t="s">
        <v>478</v>
      </c>
      <c r="C24" s="42" t="s">
        <v>107</v>
      </c>
      <c r="D24" s="43" t="s">
        <v>479</v>
      </c>
    </row>
    <row r="25" spans="1:4" ht="15.75" customHeight="1">
      <c r="A25" s="161" t="s">
        <v>480</v>
      </c>
      <c r="B25" s="162" t="s">
        <v>481</v>
      </c>
      <c r="C25" s="40" t="s">
        <v>107</v>
      </c>
      <c r="D25" s="41" t="s">
        <v>429</v>
      </c>
    </row>
    <row r="26" spans="1:4" ht="15.75" customHeight="1">
      <c r="A26" s="163" t="s">
        <v>270</v>
      </c>
      <c r="B26" s="164" t="s">
        <v>482</v>
      </c>
      <c r="C26" s="42" t="s">
        <v>107</v>
      </c>
      <c r="D26" s="43" t="s">
        <v>483</v>
      </c>
    </row>
    <row r="27" spans="1:4" ht="15.75" customHeight="1">
      <c r="A27" s="161" t="s">
        <v>484</v>
      </c>
      <c r="B27" s="162" t="s">
        <v>485</v>
      </c>
      <c r="C27" s="40" t="s">
        <v>107</v>
      </c>
      <c r="D27" s="41" t="s">
        <v>486</v>
      </c>
    </row>
    <row r="28" spans="1:4" ht="15.75" customHeight="1">
      <c r="A28" s="163" t="s">
        <v>487</v>
      </c>
      <c r="B28" s="164" t="s">
        <v>488</v>
      </c>
      <c r="C28" s="42" t="s">
        <v>489</v>
      </c>
      <c r="D28" s="43" t="s">
        <v>490</v>
      </c>
    </row>
    <row r="29" spans="1:4" ht="15.75" customHeight="1">
      <c r="A29" s="161" t="s">
        <v>491</v>
      </c>
      <c r="B29" s="162" t="s">
        <v>492</v>
      </c>
      <c r="C29" s="40" t="s">
        <v>489</v>
      </c>
      <c r="D29" s="41" t="s">
        <v>490</v>
      </c>
    </row>
    <row r="30" spans="1:4" ht="15.75" customHeight="1">
      <c r="A30" s="163" t="s">
        <v>297</v>
      </c>
      <c r="B30" s="164" t="s">
        <v>493</v>
      </c>
      <c r="C30" s="42" t="s">
        <v>489</v>
      </c>
      <c r="D30" s="43" t="s">
        <v>490</v>
      </c>
    </row>
    <row r="31" spans="1:4" ht="15.75" customHeight="1">
      <c r="A31" s="161" t="s">
        <v>494</v>
      </c>
      <c r="B31" s="162" t="s">
        <v>495</v>
      </c>
      <c r="C31" s="40" t="s">
        <v>489</v>
      </c>
      <c r="D31" s="41" t="s">
        <v>490</v>
      </c>
    </row>
    <row r="32" spans="1:4" ht="15.75" customHeight="1">
      <c r="A32" s="163" t="s">
        <v>496</v>
      </c>
      <c r="B32" s="164" t="s">
        <v>497</v>
      </c>
      <c r="C32" s="42" t="s">
        <v>107</v>
      </c>
      <c r="D32" s="43" t="s">
        <v>498</v>
      </c>
    </row>
    <row r="33" spans="1:4" ht="15.75" customHeight="1">
      <c r="A33" s="161" t="s">
        <v>499</v>
      </c>
      <c r="B33" s="162" t="s">
        <v>500</v>
      </c>
      <c r="C33" s="40" t="s">
        <v>501</v>
      </c>
      <c r="D33" s="41" t="s">
        <v>502</v>
      </c>
    </row>
    <row r="34" spans="1:4" ht="15.75" customHeight="1">
      <c r="A34" s="163" t="s">
        <v>503</v>
      </c>
      <c r="B34" s="164" t="s">
        <v>504</v>
      </c>
      <c r="C34" s="42" t="s">
        <v>501</v>
      </c>
      <c r="D34" s="43" t="s">
        <v>505</v>
      </c>
    </row>
    <row r="35" spans="1:4" ht="15.75" customHeight="1">
      <c r="A35" s="161" t="s">
        <v>506</v>
      </c>
      <c r="B35" s="162" t="s">
        <v>507</v>
      </c>
      <c r="C35" s="40" t="s">
        <v>501</v>
      </c>
      <c r="D35" s="41" t="s">
        <v>508</v>
      </c>
    </row>
    <row r="36" spans="1:4" ht="15.75" customHeight="1">
      <c r="A36" s="163" t="s">
        <v>509</v>
      </c>
      <c r="B36" s="164" t="s">
        <v>510</v>
      </c>
      <c r="C36" s="42" t="s">
        <v>501</v>
      </c>
      <c r="D36" s="43" t="s">
        <v>511</v>
      </c>
    </row>
    <row r="37" spans="1:4" ht="15.75" customHeight="1">
      <c r="A37" s="161" t="s">
        <v>512</v>
      </c>
      <c r="B37" s="162" t="s">
        <v>513</v>
      </c>
      <c r="C37" s="40" t="s">
        <v>501</v>
      </c>
      <c r="D37" s="41" t="s">
        <v>514</v>
      </c>
    </row>
    <row r="38" spans="1:4" ht="15.75" customHeight="1">
      <c r="A38" s="163" t="s">
        <v>515</v>
      </c>
      <c r="B38" s="164" t="s">
        <v>516</v>
      </c>
      <c r="C38" s="42" t="s">
        <v>501</v>
      </c>
      <c r="D38" s="43" t="s">
        <v>517</v>
      </c>
    </row>
    <row r="39" spans="1:4" ht="15.75" customHeight="1">
      <c r="A39" s="161" t="s">
        <v>518</v>
      </c>
      <c r="B39" s="162" t="s">
        <v>519</v>
      </c>
      <c r="C39" s="40" t="s">
        <v>501</v>
      </c>
      <c r="D39" s="41" t="s">
        <v>520</v>
      </c>
    </row>
    <row r="40" spans="1:4" ht="15.75" customHeight="1">
      <c r="A40" s="163" t="s">
        <v>521</v>
      </c>
      <c r="B40" s="164" t="s">
        <v>522</v>
      </c>
      <c r="C40" s="42" t="s">
        <v>501</v>
      </c>
      <c r="D40" s="43" t="s">
        <v>523</v>
      </c>
    </row>
    <row r="41" spans="1:4" ht="15.75" customHeight="1">
      <c r="A41" s="161" t="s">
        <v>524</v>
      </c>
      <c r="B41" s="162" t="s">
        <v>525</v>
      </c>
      <c r="C41" s="40" t="s">
        <v>501</v>
      </c>
      <c r="D41" s="41" t="s">
        <v>526</v>
      </c>
    </row>
    <row r="42" spans="1:4" ht="15.75" customHeight="1">
      <c r="A42" s="163" t="s">
        <v>527</v>
      </c>
      <c r="B42" s="164" t="s">
        <v>528</v>
      </c>
      <c r="C42" s="42" t="s">
        <v>501</v>
      </c>
      <c r="D42" s="43" t="s">
        <v>529</v>
      </c>
    </row>
    <row r="43" spans="1:4">
      <c r="A43" s="257" t="s">
        <v>693</v>
      </c>
      <c r="B43" s="162" t="s">
        <v>694</v>
      </c>
      <c r="C43" s="40" t="s">
        <v>425</v>
      </c>
      <c r="D43" s="41" t="s">
        <v>695</v>
      </c>
    </row>
    <row r="44" spans="1:4">
      <c r="A44" t="s">
        <v>696</v>
      </c>
      <c r="B44" s="164" t="s">
        <v>697</v>
      </c>
      <c r="C44" s="42" t="s">
        <v>425</v>
      </c>
      <c r="D44" s="43" t="s">
        <v>698</v>
      </c>
    </row>
    <row r="45" spans="1:4">
      <c r="A45" t="s">
        <v>699</v>
      </c>
      <c r="B45" s="162" t="s">
        <v>700</v>
      </c>
      <c r="C45" s="40" t="s">
        <v>425</v>
      </c>
      <c r="D45" s="41" t="s">
        <v>701</v>
      </c>
    </row>
    <row r="46" spans="1:4">
      <c r="A46" t="s">
        <v>702</v>
      </c>
      <c r="B46" s="164" t="s">
        <v>703</v>
      </c>
      <c r="C46" s="42" t="s">
        <v>90</v>
      </c>
      <c r="D46" s="43" t="s">
        <v>704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49</vt:i4>
      </vt:variant>
    </vt:vector>
  </HeadingPairs>
  <TitlesOfParts>
    <vt:vector size="60" baseType="lpstr">
      <vt:lpstr>Dashboard</vt:lpstr>
      <vt:lpstr>Cover</vt:lpstr>
      <vt:lpstr>Assumptions</vt:lpstr>
      <vt:lpstr>IS</vt:lpstr>
      <vt:lpstr>BS</vt:lpstr>
      <vt:lpstr>CFS</vt:lpstr>
      <vt:lpstr>Ratios</vt:lpstr>
      <vt:lpstr>DCF</vt:lpstr>
      <vt:lpstr>Validation</vt:lpstr>
      <vt:lpstr>Pivots</vt:lpstr>
      <vt:lpstr>Data Refs</vt:lpstr>
      <vt:lpstr>Beta</vt:lpstr>
      <vt:lpstr>CostOfEquity</vt:lpstr>
      <vt:lpstr>CurrentPrice</vt:lpstr>
      <vt:lpstr>DilutedShares</vt:lpstr>
      <vt:lpstr>EnterpriseValue</vt:lpstr>
      <vt:lpstr>EPS_FY25A</vt:lpstr>
      <vt:lpstr>EPS_FY28E</vt:lpstr>
      <vt:lpstr>EPS_FY29E</vt:lpstr>
      <vt:lpstr>EPS_Range</vt:lpstr>
      <vt:lpstr>EquityValue</vt:lpstr>
      <vt:lpstr>ERP</vt:lpstr>
      <vt:lpstr>FCF_FY25A</vt:lpstr>
      <vt:lpstr>FCF_FY26E</vt:lpstr>
      <vt:lpstr>FCF_FY28E</vt:lpstr>
      <vt:lpstr>FCF_FY29E</vt:lpstr>
      <vt:lpstr>FCF_Range</vt:lpstr>
      <vt:lpstr>FocusYear</vt:lpstr>
      <vt:lpstr>GeographyFilter</vt:lpstr>
      <vt:lpstr>GrossMargin_Range</vt:lpstr>
      <vt:lpstr>GrossProfit_FY25A</vt:lpstr>
      <vt:lpstr>GrossProfit_FY28E</vt:lpstr>
      <vt:lpstr>GrossProfit_FY29E</vt:lpstr>
      <vt:lpstr>ImpliedPrice</vt:lpstr>
      <vt:lpstr>NetIncome_FY25A</vt:lpstr>
      <vt:lpstr>NetIncome_FY26E</vt:lpstr>
      <vt:lpstr>NetIncome_FY28E</vt:lpstr>
      <vt:lpstr>NetIncome_FY29E</vt:lpstr>
      <vt:lpstr>NetIncome_Range</vt:lpstr>
      <vt:lpstr>NetMargin_Range</vt:lpstr>
      <vt:lpstr>OpIncome_FY25A</vt:lpstr>
      <vt:lpstr>OpIncome_FY28E</vt:lpstr>
      <vt:lpstr>OpIncome_FY29E</vt:lpstr>
      <vt:lpstr>OpIncome_Range</vt:lpstr>
      <vt:lpstr>OpMargin_Range</vt:lpstr>
      <vt:lpstr>Pivots!Print_Area</vt:lpstr>
      <vt:lpstr>ProductsRev_Range</vt:lpstr>
      <vt:lpstr>Revenue_FY25A</vt:lpstr>
      <vt:lpstr>Revenue_FY26E</vt:lpstr>
      <vt:lpstr>Revenue_FY27E</vt:lpstr>
      <vt:lpstr>Revenue_FY28E</vt:lpstr>
      <vt:lpstr>Revenue_FY29E</vt:lpstr>
      <vt:lpstr>Revenue_Range</vt:lpstr>
      <vt:lpstr>RiskFreeRate</vt:lpstr>
      <vt:lpstr>Scenario</vt:lpstr>
      <vt:lpstr>SegmentView</vt:lpstr>
      <vt:lpstr>ServicesRev_Range</vt:lpstr>
      <vt:lpstr>TerminalGrowth</vt:lpstr>
      <vt:lpstr>Upside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alven yuka</cp:lastModifiedBy>
  <cp:revision>35</cp:revision>
  <dcterms:created xsi:type="dcterms:W3CDTF">2026-05-12T15:55:28Z</dcterms:created>
  <dcterms:modified xsi:type="dcterms:W3CDTF">2026-09-29T12:05:04Z</dcterms:modified>
  <dc:language>en-US</dc:language>
</cp:coreProperties>
</file>